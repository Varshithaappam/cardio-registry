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DB Architecture" sheetId="1" state="visible" r:id="rId1"/>
    <sheet xmlns:r="http://schemas.openxmlformats.org/officeDocument/2006/relationships" name="Sheet1 Mapping" sheetId="2" state="visible" r:id="rId2"/>
    <sheet xmlns:r="http://schemas.openxmlformats.org/officeDocument/2006/relationships" name="CI Flags Mapping" sheetId="3" state="visible" r:id="rId3"/>
    <sheet xmlns:r="http://schemas.openxmlformats.org/officeDocument/2006/relationships" name="GDMT Summary Mapping" sheetId="4" state="visible" r:id="rId4"/>
    <sheet xmlns:r="http://schemas.openxmlformats.org/officeDocument/2006/relationships" name="Key Points Mapp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475569"/>
      <sz val="10"/>
    </font>
    <font>
      <name val="Segoe UI"/>
      <b val="1"/>
      <color rgb="001E3A8A"/>
      <sz val="12"/>
    </font>
    <font>
      <name val="Segoe UI"/>
      <b val="1"/>
      <color rgb="00FFFFFF"/>
      <sz val="11"/>
    </font>
    <font>
      <name val="Segoe UI"/>
      <color rgb="001E293B"/>
      <sz val="10"/>
    </font>
    <font>
      <name val="Consolas"/>
      <color rgb="000F172A"/>
      <sz val="9"/>
    </font>
    <font>
      <name val="Segoe UI"/>
      <b val="1"/>
      <color rgb="001E293B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0284C7"/>
        <bgColor rgb="000284C7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1E3A8A"/>
      </top>
      <bottom style="medium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45" customWidth="1" min="3" max="3"/>
    <col width="25" customWidth="1" min="4" max="4"/>
    <col width="50" customWidth="1" min="5" max="5"/>
    <col width="20" customWidth="1" min="6" max="6"/>
    <col width="20" customWidth="1" min="7" max="7"/>
  </cols>
  <sheetData>
    <row r="1" ht="32" customHeight="1">
      <c r="A1" s="1" t="inlineStr">
        <is>
          <t>CARDIOLOGY HF REGISTRY &amp; GDMT CLINICAL DASHBOARD MAPPING SPECIFICATION</t>
        </is>
      </c>
    </row>
    <row r="2" ht="20" customHeight="1">
      <c r="A2" s="2" t="inlineStr">
        <is>
          <t>Comprehensive cross-reference between 'dashboard forms and formulae.xlsx' and local MSSQL database 'local_schema and data.sql' (Database: care)</t>
        </is>
      </c>
    </row>
    <row r="4">
      <c r="A4" s="3" t="inlineStr">
        <is>
          <t>1. RELATIONAL DATABASE ARCHITECTURE &amp; ENTITY RELATIONSHIP JOIN GRAPH</t>
        </is>
      </c>
    </row>
    <row r="5" ht="26" customHeight="1">
      <c r="A5" s="4" t="inlineStr">
        <is>
          <t>Source / Primary Entity</t>
        </is>
      </c>
      <c r="B5" s="4" t="inlineStr">
        <is>
          <t>Join Entity (Table)</t>
        </is>
      </c>
      <c r="C5" s="4" t="inlineStr">
        <is>
          <t>Primary Key / Foreign Key Join Condition</t>
        </is>
      </c>
      <c r="D5" s="4" t="inlineStr">
        <is>
          <t>Cardinality</t>
        </is>
      </c>
      <c r="E5" s="4" t="inlineStr">
        <is>
          <t>Clinical Domain / Purpose</t>
        </is>
      </c>
    </row>
    <row r="6" ht="22" customHeight="1">
      <c r="A6" s="5" t="inlineStr">
        <is>
          <t>hf_registry (Core HF Registry)</t>
        </is>
      </c>
      <c r="B6" s="5" t="inlineStr">
        <is>
          <t>patient_demographics</t>
        </is>
      </c>
      <c r="C6" s="6" t="inlineStr">
        <is>
          <t>hf_registry.reg_patient_id = patient_demographics.reg_patient_id</t>
        </is>
      </c>
      <c r="D6" s="7" t="inlineStr">
        <is>
          <t>1 : 1</t>
        </is>
      </c>
      <c r="E6" s="5" t="inlineStr">
        <is>
          <t>Master patient demographics (UHID, Name, DOB, Gender, IP No, Contacts)</t>
        </is>
      </c>
    </row>
    <row r="7" ht="22" customHeight="1">
      <c r="A7" s="8" t="inlineStr">
        <is>
          <t>hf_registry</t>
        </is>
      </c>
      <c r="B7" s="8" t="inlineStr">
        <is>
          <t>hf_administrative</t>
        </is>
      </c>
      <c r="C7" s="9" t="inlineStr">
        <is>
          <t>hf_registry.hf_id = hf_administrative.hf_id</t>
        </is>
      </c>
      <c r="D7" s="10" t="inlineStr">
        <is>
          <t>1 : 1</t>
        </is>
      </c>
      <c r="E7" s="8" t="inlineStr">
        <is>
          <t>Encounter admission/discharge dates, cardiologist, insurer, admission reasons</t>
        </is>
      </c>
    </row>
    <row r="8" ht="22" customHeight="1">
      <c r="A8" s="5" t="inlineStr">
        <is>
          <t>hf_registry</t>
        </is>
      </c>
      <c r="B8" s="5" t="inlineStr">
        <is>
          <t>hf_initial_assessment</t>
        </is>
      </c>
      <c r="C8" s="6" t="inlineStr">
        <is>
          <t>hf_registry.hf_id = hf_initial_assessment.hf_id</t>
        </is>
      </c>
      <c r="D8" s="7" t="inlineStr">
        <is>
          <t>1 : 1</t>
        </is>
      </c>
      <c r="E8" s="5" t="inlineStr">
        <is>
          <t>Vitals (BP, HR, RR, SpO2, Wt, Ht), signs/symptoms, medical/surgical history</t>
        </is>
      </c>
    </row>
    <row r="9" ht="22" customHeight="1">
      <c r="A9" s="8" t="inlineStr">
        <is>
          <t>hf_registry</t>
        </is>
      </c>
      <c r="B9" s="8" t="inlineStr">
        <is>
          <t>hf_final_clinical_assessment</t>
        </is>
      </c>
      <c r="C9" s="9" t="inlineStr">
        <is>
          <t>hf_registry.hf_id = hf_final_clinical_assessment.hf_id</t>
        </is>
      </c>
      <c r="D9" s="10" t="inlineStr">
        <is>
          <t>1 : 1</t>
        </is>
      </c>
      <c r="E9" s="8" t="inlineStr">
        <is>
          <t>HF Phenotype (HFrEF/HFpEF), NYHA class, comorbidities (DM, HTN, CKD), MACE/Death</t>
        </is>
      </c>
    </row>
    <row r="10" ht="22" customHeight="1">
      <c r="A10" s="5" t="inlineStr">
        <is>
          <t>hf_registry</t>
        </is>
      </c>
      <c r="B10" s="5" t="inlineStr">
        <is>
          <t>hf_cardiac_investigations</t>
        </is>
      </c>
      <c r="C10" s="6" t="inlineStr">
        <is>
          <t>hf_registry.hf_id = hf_cardiac_investigations.hf_id</t>
        </is>
      </c>
      <c r="D10" s="7" t="inlineStr">
        <is>
          <t>1 : 1</t>
        </is>
      </c>
      <c r="E10" s="5" t="inlineStr">
        <is>
          <t>Echo (EF%, RWMI), ECG (Q waves, QTc, rhythms, AV conduction blocks), Angiogram</t>
        </is>
      </c>
    </row>
    <row r="11" ht="22" customHeight="1">
      <c r="A11" s="8" t="inlineStr">
        <is>
          <t>hf_registry</t>
        </is>
      </c>
      <c r="B11" s="8" t="inlineStr">
        <is>
          <t>hf_advanced_investigations</t>
        </is>
      </c>
      <c r="C11" s="9" t="inlineStr">
        <is>
          <t>hf_registry.hf_id = hf_advanced_investigations.hf_id</t>
        </is>
      </c>
      <c r="D11" s="10" t="inlineStr">
        <is>
          <t>1 : 1</t>
        </is>
      </c>
      <c r="E11" s="8" t="inlineStr">
        <is>
          <t>Holter monitoring, VT/NSVT, cardiac MRI, cardiopulmonary exercise testing</t>
        </is>
      </c>
    </row>
    <row r="12" ht="22" customHeight="1">
      <c r="A12" s="5" t="inlineStr">
        <is>
          <t>hf_registry</t>
        </is>
      </c>
      <c r="B12" s="5" t="inlineStr">
        <is>
          <t>hf_lab_tests</t>
        </is>
      </c>
      <c r="C12" s="6" t="inlineStr">
        <is>
          <t>hf_registry.hf_id = hf_lab_tests.hf_id</t>
        </is>
      </c>
      <c r="D12" s="7" t="inlineStr">
        <is>
          <t>1 : 1</t>
        </is>
      </c>
      <c r="E12" s="5" t="inlineStr">
        <is>
          <t>Biomarkers &amp; labs (Serum Potassium, Creatinine, Hemoglobin, BNP, NT-proBNP, Na)</t>
        </is>
      </c>
    </row>
    <row r="13" ht="22" customHeight="1">
      <c r="A13" s="8" t="inlineStr">
        <is>
          <t>hf_registry</t>
        </is>
      </c>
      <c r="B13" s="8" t="inlineStr">
        <is>
          <t>hf_device_therapy</t>
        </is>
      </c>
      <c r="C13" s="9" t="inlineStr">
        <is>
          <t>hf_registry.hf_id = hf_device_therapy.hf_id</t>
        </is>
      </c>
      <c r="D13" s="10" t="inlineStr">
        <is>
          <t>1 : 1</t>
        </is>
      </c>
      <c r="E13" s="8" t="inlineStr">
        <is>
          <t>Implanted cardiac devices (CRT-D, CRT-P, ICD, Pacemakers), shock telemetry</t>
        </is>
      </c>
    </row>
    <row r="14" ht="22" customHeight="1">
      <c r="A14" s="5" t="inlineStr">
        <is>
          <t>hf_registry</t>
        </is>
      </c>
      <c r="B14" s="5" t="inlineStr">
        <is>
          <t>hf_medical_therapy_part1</t>
        </is>
      </c>
      <c r="C14" s="6" t="inlineStr">
        <is>
          <t>hf_registry.hf_id = hf_medical_therapy_part1.hf_id</t>
        </is>
      </c>
      <c r="D14" s="7" t="inlineStr">
        <is>
          <t>1 : 1</t>
        </is>
      </c>
      <c r="E14" s="5" t="inlineStr">
        <is>
          <t>Beta blockers, ACEi, ARB, Aldosterone antagonists (MRA) &amp; documented CI reasons</t>
        </is>
      </c>
    </row>
    <row r="15" ht="22" customHeight="1">
      <c r="A15" s="8" t="inlineStr">
        <is>
          <t>hf_registry</t>
        </is>
      </c>
      <c r="B15" s="8" t="inlineStr">
        <is>
          <t>hf_medical_therapy_part2</t>
        </is>
      </c>
      <c r="C15" s="9" t="inlineStr">
        <is>
          <t>hf_registry.hf_id = hf_medical_therapy_part2.hf_id</t>
        </is>
      </c>
      <c r="D15" s="10" t="inlineStr">
        <is>
          <t>1 : 1</t>
        </is>
      </c>
      <c r="E15" s="8" t="inlineStr">
        <is>
          <t>Diuretics (Lasix, Torsemide, Metolazone), antiplatelets, anticoagulants, nitrates</t>
        </is>
      </c>
    </row>
    <row r="16" ht="22" customHeight="1">
      <c r="A16" s="5" t="inlineStr">
        <is>
          <t>hf_registry</t>
        </is>
      </c>
      <c r="B16" s="5" t="inlineStr">
        <is>
          <t>hf_medical_therapy_part3</t>
        </is>
      </c>
      <c r="C16" s="6" t="inlineStr">
        <is>
          <t>hf_registry.hf_id = hf_medical_therapy_part3.hf_id</t>
        </is>
      </c>
      <c r="D16" s="7" t="inlineStr">
        <is>
          <t>1 : 1</t>
        </is>
      </c>
      <c r="E16" s="5" t="inlineStr">
        <is>
          <t>Statins (Atorva, Rosuva), Digoxin, Ivabradine, antidiabetics (Insulin, Metformin)</t>
        </is>
      </c>
    </row>
    <row r="17" ht="22" customHeight="1">
      <c r="A17" s="8" t="inlineStr">
        <is>
          <t>patient_demographics</t>
        </is>
      </c>
      <c r="B17" s="8" t="inlineStr">
        <is>
          <t>hf_followup_records</t>
        </is>
      </c>
      <c r="C17" s="9" t="inlineStr">
        <is>
          <t>patient_demographics.reg_patient_id = hf_followup_records.reg_patient_id</t>
        </is>
      </c>
      <c r="D17" s="10" t="inlineStr">
        <is>
          <t>1 : N</t>
        </is>
      </c>
      <c r="E17" s="8" t="inlineStr">
        <is>
          <t>Longitudinal telephone/outreach follow-ups, post-discharge GDMT (ARNI, SGLT2i, MRA, BB)</t>
        </is>
      </c>
    </row>
    <row r="18" ht="22" customHeight="1">
      <c r="A18" s="5" t="inlineStr">
        <is>
          <t>patient_demographics</t>
        </is>
      </c>
      <c r="B18" s="5" t="inlineStr">
        <is>
          <t>patient_identity_index</t>
        </is>
      </c>
      <c r="C18" s="6" t="inlineStr">
        <is>
          <t>patient_demographics.reg_patient_id = patient_identity_index.reg_patient_id</t>
        </is>
      </c>
      <c r="D18" s="7" t="inlineStr">
        <is>
          <t>1 : 1</t>
        </is>
      </c>
      <c r="E18" s="5" t="inlineStr">
        <is>
          <t>Normalized MPI deduplication tokens (Soundex, Hash of UHID, Phone, ABHA)</t>
        </is>
      </c>
    </row>
    <row r="21">
      <c r="A21" s="3" t="inlineStr">
        <is>
          <t>2. MAPPING WORKBOOK STRUCTURE &amp; NAVIGATIONAL INDEX</t>
        </is>
      </c>
    </row>
    <row r="22" ht="24" customHeight="1">
      <c r="A22" s="11" t="inlineStr">
        <is>
          <t>Sheet Tab Name</t>
        </is>
      </c>
      <c r="B22" s="11" t="inlineStr">
        <is>
          <t>Source Sheet in Dashboard Workbook</t>
        </is>
      </c>
      <c r="C22" s="11" t="inlineStr">
        <is>
          <t>Target DB Scope &amp; Tables</t>
        </is>
      </c>
      <c r="D22" s="11" t="inlineStr">
        <is>
          <t>Mapped Elements</t>
        </is>
      </c>
      <c r="E22" s="11" t="inlineStr">
        <is>
          <t>Core Clinical &amp; Analytical Functionality</t>
        </is>
      </c>
    </row>
    <row r="23" ht="28" customHeight="1">
      <c r="A23" s="12" t="inlineStr">
        <is>
          <t>Sheet1 Mapping</t>
        </is>
      </c>
      <c r="B23" s="8" t="inlineStr">
        <is>
          <t>sheet 1 / sheet 1 formula</t>
        </is>
      </c>
      <c r="C23" s="8" t="inlineStr">
        <is>
          <t>patient_demographics, hf_administrative, hf_initial_assessment, hf_cardiac_investigations, hf_lab_tests, hf_final_clinical_assessment, hf_medical_therapy_part1/2/3, hf_device_therapy</t>
        </is>
      </c>
      <c r="D23" s="8" t="inlineStr">
        <is>
          <t>Columns A to CR (96 Columns)</t>
        </is>
      </c>
      <c r="E23" s="8" t="inlineStr">
        <is>
          <t>Patient-level registry ingestion, clinical demographics, baseline labs, 6-pillar drug intake, contraindication flags, individual deviation flags &amp; adherence %</t>
        </is>
      </c>
    </row>
    <row r="24" ht="28" customHeight="1">
      <c r="A24" s="13" t="inlineStr">
        <is>
          <t>CI Flags Mapping</t>
        </is>
      </c>
      <c r="B24" s="5" t="inlineStr">
        <is>
          <t>CI Flags / CI FLAGS FORMULAE</t>
        </is>
      </c>
      <c r="C24" s="5" t="inlineStr">
        <is>
          <t>hf_initial_assessment, hf_lab_tests, hf_administrative, hf_final_clinical_assessment, hf_medical_therapy_part1/2</t>
        </is>
      </c>
      <c r="D24" s="5" t="inlineStr">
        <is>
          <t>Columns A to S (19 Columns)</t>
        </is>
      </c>
      <c r="E24" s="5" t="inlineStr">
        <is>
          <t>Physiological safety rule engine (Bradycardia, Hypotension thresholds for BB/ACEi/ARB/ARNI, Shock/Inotropes, Asthma/COPD, Hyperkalaemia, Renal cutoffs, Heart Blocks, DKA, UTI)</t>
        </is>
      </c>
    </row>
    <row r="25" ht="28" customHeight="1">
      <c r="A25" s="12" t="inlineStr">
        <is>
          <t>GDMT Summary Mapping</t>
        </is>
      </c>
      <c r="B25" s="8" t="inlineStr">
        <is>
          <t>GDMT Summary / GDMT FORMULA</t>
        </is>
      </c>
      <c r="C25" s="8" t="inlineStr">
        <is>
          <t>Derived aggregations from hf_registry, patient_demographics, hf_medical_therapy_part1, hf_followup_records</t>
        </is>
      </c>
      <c r="D25" s="8" t="inlineStr">
        <is>
          <t>Cohort KPI Aggregates &amp; Distribution Grids</t>
        </is>
      </c>
      <c r="E25" s="8" t="inlineStr">
        <is>
          <t>Pillar uptake percentages (Beta blocker, ACEi, ARB, ARNI, MRA, SGLT2i), multi-drug therapy count distributions (0 to 4+ drugs), deviation breakdown, cohort adherence distribution</t>
        </is>
      </c>
    </row>
    <row r="26" ht="28" customHeight="1">
      <c r="A26" s="13" t="inlineStr">
        <is>
          <t>Key Points Mapping</t>
        </is>
      </c>
      <c r="B26" s="5" t="inlineStr">
        <is>
          <t>key points / key points formula</t>
        </is>
      </c>
      <c r="C26" s="5" t="inlineStr">
        <is>
          <t>patient_demographics, hf_final_clinical_assessment, hf_cardiac_investigations, CI Flags, GDMT Summary</t>
        </is>
      </c>
      <c r="D26" s="5" t="inlineStr">
        <is>
          <t>55 Analytical Metric Parameters &amp; Executive Insights</t>
        </is>
      </c>
      <c r="E26" s="5" t="inlineStr">
        <is>
          <t>Executive clinical report metrics: Age, Gender, HFrEF/HFpEF, Mean EF%, NYHA III/IV, Comorbidities, Mortality, Under-treatment vs Inappropriate prescription rates, Executive narrative synthesis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8"/>
  <sheetViews>
    <sheetView showGridLines="1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32" customWidth="1" min="3" max="3"/>
    <col width="28" customWidth="1" min="4" max="4"/>
    <col width="38" customWidth="1" min="5" max="5"/>
    <col width="16" customWidth="1" min="6" max="6"/>
    <col width="16" customWidth="1" min="7" max="7"/>
    <col width="45" customWidth="1" min="8" max="8"/>
    <col width="40" customWidth="1" min="9" max="9"/>
    <col width="45" customWidth="1" min="10" max="10"/>
  </cols>
  <sheetData>
    <row r="1" ht="30" customHeight="1">
      <c r="A1" s="1" t="inlineStr">
        <is>
          <t>DATA DICTIONARY &amp; FIELD MAPPING: SHEET 1 (PATIENT REGISTRY COHORT MASTER)</t>
        </is>
      </c>
    </row>
    <row r="2" ht="28" customHeight="1">
      <c r="A2" s="4" t="inlineStr">
        <is>
          <t>Col Letter</t>
        </is>
      </c>
      <c r="B2" s="4" t="inlineStr">
        <is>
          <t>Col Index</t>
        </is>
      </c>
      <c r="C2" s="4" t="inlineStr">
        <is>
          <t>Dashboard Column Name</t>
        </is>
      </c>
      <c r="D2" s="4" t="inlineStr">
        <is>
          <t>Target Database Table</t>
        </is>
      </c>
      <c r="E2" s="4" t="inlineStr">
        <is>
          <t>Target Database Column(s)</t>
        </is>
      </c>
      <c r="F2" s="4" t="inlineStr">
        <is>
          <t>Data Type</t>
        </is>
      </c>
      <c r="G2" s="4" t="inlineStr">
        <is>
          <t>Mapping Type</t>
        </is>
      </c>
      <c r="H2" s="4" t="inlineStr">
        <is>
          <t>Extraction / Transformation Rule &amp; SQL Expression</t>
        </is>
      </c>
      <c r="I2" s="4" t="inlineStr">
        <is>
          <t>Dashboard Formula / Dependency</t>
        </is>
      </c>
      <c r="J2" s="4" t="inlineStr">
        <is>
          <t>Clinical &amp; Engineering Rationale</t>
        </is>
      </c>
    </row>
    <row r="3" ht="24" customHeight="1">
      <c r="A3" s="14" t="inlineStr">
        <is>
          <t>A</t>
        </is>
      </c>
      <c r="B3" s="10" t="n">
        <v>1</v>
      </c>
      <c r="C3" s="12" t="inlineStr">
        <is>
          <t>12583.0 / Record ID</t>
        </is>
      </c>
      <c r="D3" s="8" t="inlineStr">
        <is>
          <t>hf_registry</t>
        </is>
      </c>
      <c r="E3" s="9" t="inlineStr">
        <is>
          <t>hf_id</t>
        </is>
      </c>
      <c r="F3" s="10" t="inlineStr">
        <is>
          <t>INT</t>
        </is>
      </c>
      <c r="G3" s="15" t="inlineStr">
        <is>
          <t>Direct DB</t>
        </is>
      </c>
      <c r="H3" s="9" t="inlineStr">
        <is>
          <t>hf_registry.hf_id</t>
        </is>
      </c>
      <c r="I3" s="9" t="inlineStr">
        <is>
          <t>None</t>
        </is>
      </c>
      <c r="J3" s="8" t="inlineStr">
        <is>
          <t>Surrogate primary key of the heart failure registry record</t>
        </is>
      </c>
    </row>
    <row r="4" ht="24" customHeight="1">
      <c r="A4" s="16" t="inlineStr">
        <is>
          <t>B</t>
        </is>
      </c>
      <c r="B4" s="7" t="n">
        <v>2</v>
      </c>
      <c r="C4" s="13" t="inlineStr">
        <is>
          <t>UHID(T3)</t>
        </is>
      </c>
      <c r="D4" s="5" t="inlineStr">
        <is>
          <t>patient_demographics</t>
        </is>
      </c>
      <c r="E4" s="6" t="inlineStr">
        <is>
          <t>uhid</t>
        </is>
      </c>
      <c r="F4" s="7" t="inlineStr">
        <is>
          <t>VARCHAR(50)</t>
        </is>
      </c>
      <c r="G4" s="15" t="inlineStr">
        <is>
          <t>Direct DB</t>
        </is>
      </c>
      <c r="H4" s="6" t="inlineStr">
        <is>
          <t>patient_demographics.uhid</t>
        </is>
      </c>
      <c r="I4" s="6" t="inlineStr">
        <is>
          <t>None</t>
        </is>
      </c>
      <c r="J4" s="5" t="inlineStr">
        <is>
          <t>Unique Hospital Identification (UHID) issued by T3 hospital HIS</t>
        </is>
      </c>
    </row>
    <row r="5" ht="24" customHeight="1">
      <c r="A5" s="14" t="inlineStr">
        <is>
          <t>C</t>
        </is>
      </c>
      <c r="B5" s="10" t="n">
        <v>3</v>
      </c>
      <c r="C5" s="12" t="inlineStr">
        <is>
          <t>IP No(T3)</t>
        </is>
      </c>
      <c r="D5" s="8" t="inlineStr">
        <is>
          <t>patient_demographics</t>
        </is>
      </c>
      <c r="E5" s="9" t="inlineStr">
        <is>
          <t>ip_no</t>
        </is>
      </c>
      <c r="F5" s="10" t="inlineStr">
        <is>
          <t>VARCHAR(10)</t>
        </is>
      </c>
      <c r="G5" s="15" t="inlineStr">
        <is>
          <t>Direct DB</t>
        </is>
      </c>
      <c r="H5" s="9" t="inlineStr">
        <is>
          <t>patient_demographics.ip_no</t>
        </is>
      </c>
      <c r="I5" s="9" t="inlineStr">
        <is>
          <t>None</t>
        </is>
      </c>
      <c r="J5" s="8" t="inlineStr">
        <is>
          <t>Inpatient admission encounter number from T3 HIS</t>
        </is>
      </c>
    </row>
    <row r="6" ht="24" customHeight="1">
      <c r="A6" s="16" t="inlineStr">
        <is>
          <t>D</t>
        </is>
      </c>
      <c r="B6" s="7" t="n">
        <v>4</v>
      </c>
      <c r="C6" s="13" t="inlineStr">
        <is>
          <t>IP No(Prosoft)</t>
        </is>
      </c>
      <c r="D6" s="5" t="inlineStr">
        <is>
          <t>hf_administrative</t>
        </is>
      </c>
      <c r="E6" s="6" t="inlineStr">
        <is>
          <t>care_mr_no</t>
        </is>
      </c>
      <c r="F6" s="7" t="inlineStr">
        <is>
          <t>VARCHAR(50)</t>
        </is>
      </c>
      <c r="G6" s="15" t="inlineStr">
        <is>
          <t>Direct DB</t>
        </is>
      </c>
      <c r="H6" s="6" t="inlineStr">
        <is>
          <t>hf_administrative.care_mr_no</t>
        </is>
      </c>
      <c r="I6" s="6" t="inlineStr">
        <is>
          <t>None</t>
        </is>
      </c>
      <c r="J6" s="5" t="inlineStr">
        <is>
          <t>Secondary institutional Medical Record / Prosoft IP Number</t>
        </is>
      </c>
    </row>
    <row r="7" ht="24" customHeight="1">
      <c r="A7" s="14" t="inlineStr">
        <is>
          <t>E</t>
        </is>
      </c>
      <c r="B7" s="10" t="n">
        <v>5</v>
      </c>
      <c r="C7" s="12" t="inlineStr">
        <is>
          <t>PINCODE</t>
        </is>
      </c>
      <c r="D7" s="8" t="inlineStr">
        <is>
          <t>patient_demographics</t>
        </is>
      </c>
      <c r="E7" s="9" t="inlineStr">
        <is>
          <t>pincode</t>
        </is>
      </c>
      <c r="F7" s="10" t="inlineStr">
        <is>
          <t>VARCHAR(10)</t>
        </is>
      </c>
      <c r="G7" s="15" t="inlineStr">
        <is>
          <t>Direct DB</t>
        </is>
      </c>
      <c r="H7" s="9" t="inlineStr">
        <is>
          <t>patient_demographics.pincode</t>
        </is>
      </c>
      <c r="I7" s="9" t="inlineStr">
        <is>
          <t>None</t>
        </is>
      </c>
      <c r="J7" s="8" t="inlineStr">
        <is>
          <t>Residential postal area code for geographical demographic analysis</t>
        </is>
      </c>
    </row>
    <row r="8" ht="24" customHeight="1">
      <c r="A8" s="16" t="inlineStr">
        <is>
          <t>F</t>
        </is>
      </c>
      <c r="B8" s="7" t="n">
        <v>6</v>
      </c>
      <c r="C8" s="13" t="inlineStr">
        <is>
          <t>Patient name</t>
        </is>
      </c>
      <c r="D8" s="5" t="inlineStr">
        <is>
          <t>patient_demographics</t>
        </is>
      </c>
      <c r="E8" s="6" t="inlineStr">
        <is>
          <t>patient_name</t>
        </is>
      </c>
      <c r="F8" s="7" t="inlineStr">
        <is>
          <t>VARCHAR(150)</t>
        </is>
      </c>
      <c r="G8" s="15" t="inlineStr">
        <is>
          <t>Direct DB</t>
        </is>
      </c>
      <c r="H8" s="6" t="inlineStr">
        <is>
          <t>patient_demographics.patient_name</t>
        </is>
      </c>
      <c r="I8" s="6" t="inlineStr">
        <is>
          <t>None</t>
        </is>
      </c>
      <c r="J8" s="5" t="inlineStr">
        <is>
          <t>Full legal patient name recorded at registration</t>
        </is>
      </c>
    </row>
    <row r="9" ht="24" customHeight="1">
      <c r="A9" s="14" t="inlineStr">
        <is>
          <t>G</t>
        </is>
      </c>
      <c r="B9" s="10" t="n">
        <v>7</v>
      </c>
      <c r="C9" s="12" t="inlineStr">
        <is>
          <t>Age</t>
        </is>
      </c>
      <c r="D9" s="8" t="inlineStr">
        <is>
          <t>patient_demographics</t>
        </is>
      </c>
      <c r="E9" s="9" t="inlineStr">
        <is>
          <t>date_of_birth</t>
        </is>
      </c>
      <c r="F9" s="10" t="inlineStr">
        <is>
          <t>INT (Derived)</t>
        </is>
      </c>
      <c r="G9" s="17" t="inlineStr">
        <is>
          <t>Calculated</t>
        </is>
      </c>
      <c r="H9" s="9" t="inlineStr">
        <is>
          <t>DATEDIFF(YEAR, patient_demographics.date_of_birth, hf_administrative.visit_date)</t>
        </is>
      </c>
      <c r="I9" s="9" t="inlineStr">
        <is>
          <t>None</t>
        </is>
      </c>
      <c r="J9" s="8" t="inlineStr">
        <is>
          <t>Calculated patient age in years at date of admission</t>
        </is>
      </c>
    </row>
    <row r="10" ht="24" customHeight="1">
      <c r="A10" s="16" t="inlineStr">
        <is>
          <t>H</t>
        </is>
      </c>
      <c r="B10" s="7" t="n">
        <v>8</v>
      </c>
      <c r="C10" s="13" t="inlineStr">
        <is>
          <t>Gender</t>
        </is>
      </c>
      <c r="D10" s="5" t="inlineStr">
        <is>
          <t>patient_demographics</t>
        </is>
      </c>
      <c r="E10" s="6" t="inlineStr">
        <is>
          <t>gender</t>
        </is>
      </c>
      <c r="F10" s="7" t="inlineStr">
        <is>
          <t>NVARCHAR(6)</t>
        </is>
      </c>
      <c r="G10" s="15" t="inlineStr">
        <is>
          <t>Direct DB</t>
        </is>
      </c>
      <c r="H10" s="6" t="inlineStr">
        <is>
          <t>patient_demographics.gender</t>
        </is>
      </c>
      <c r="I10" s="6" t="inlineStr">
        <is>
          <t>None</t>
        </is>
      </c>
      <c r="J10" s="5" t="inlineStr">
        <is>
          <t>Biological gender ('Male', 'Female', 'Other')</t>
        </is>
      </c>
    </row>
    <row r="11" ht="24" customHeight="1">
      <c r="A11" s="14" t="inlineStr">
        <is>
          <t>I</t>
        </is>
      </c>
      <c r="B11" s="10" t="n">
        <v>9</v>
      </c>
      <c r="C11" s="12" t="inlineStr">
        <is>
          <t>Contact no 1</t>
        </is>
      </c>
      <c r="D11" s="8" t="inlineStr">
        <is>
          <t>patient_demographics</t>
        </is>
      </c>
      <c r="E11" s="9" t="inlineStr">
        <is>
          <t>phone_no</t>
        </is>
      </c>
      <c r="F11" s="10" t="inlineStr">
        <is>
          <t>VARCHAR(15)</t>
        </is>
      </c>
      <c r="G11" s="15" t="inlineStr">
        <is>
          <t>Direct DB</t>
        </is>
      </c>
      <c r="H11" s="9" t="inlineStr">
        <is>
          <t>patient_demographics.phone_no</t>
        </is>
      </c>
      <c r="I11" s="9" t="inlineStr">
        <is>
          <t>None</t>
        </is>
      </c>
      <c r="J11" s="8" t="inlineStr">
        <is>
          <t>Primary patient contact mobile telephone number</t>
        </is>
      </c>
    </row>
    <row r="12" ht="24" customHeight="1">
      <c r="A12" s="16" t="inlineStr">
        <is>
          <t>J</t>
        </is>
      </c>
      <c r="B12" s="7" t="n">
        <v>10</v>
      </c>
      <c r="C12" s="13" t="inlineStr">
        <is>
          <t>Contact no 2</t>
        </is>
      </c>
      <c r="D12" s="5" t="inlineStr">
        <is>
          <t>hf_administrative</t>
        </is>
      </c>
      <c r="E12" s="6" t="inlineStr">
        <is>
          <t>caregiver_phone</t>
        </is>
      </c>
      <c r="F12" s="7" t="inlineStr">
        <is>
          <t>VARCHAR(15)</t>
        </is>
      </c>
      <c r="G12" s="15" t="inlineStr">
        <is>
          <t>Direct DB</t>
        </is>
      </c>
      <c r="H12" s="6" t="inlineStr">
        <is>
          <t>hf_administrative.caregiver_phone</t>
        </is>
      </c>
      <c r="I12" s="6" t="inlineStr">
        <is>
          <t>None</t>
        </is>
      </c>
      <c r="J12" s="5" t="inlineStr">
        <is>
          <t>Secondary emergency or caregiver telephone number</t>
        </is>
      </c>
    </row>
    <row r="13" ht="24" customHeight="1">
      <c r="A13" s="14" t="inlineStr">
        <is>
          <t>K</t>
        </is>
      </c>
      <c r="B13" s="10" t="n">
        <v>11</v>
      </c>
      <c r="C13" s="12" t="inlineStr">
        <is>
          <t>Payment</t>
        </is>
      </c>
      <c r="D13" s="8" t="inlineStr">
        <is>
          <t>hf_administrative</t>
        </is>
      </c>
      <c r="E13" s="9" t="inlineStr">
        <is>
          <t>insurance_mode</t>
        </is>
      </c>
      <c r="F13" s="10" t="inlineStr">
        <is>
          <t>NVARCHAR(24)</t>
        </is>
      </c>
      <c r="G13" s="15" t="inlineStr">
        <is>
          <t>Direct DB</t>
        </is>
      </c>
      <c r="H13" s="9" t="inlineStr">
        <is>
          <t>hf_administrative.insurance_mode</t>
        </is>
      </c>
      <c r="I13" s="9" t="inlineStr">
        <is>
          <t>None</t>
        </is>
      </c>
      <c r="J13" s="8" t="inlineStr">
        <is>
          <t>Payer classification ('Cash', 'Insurance', 'PMJAY', 'Arogyasri')</t>
        </is>
      </c>
    </row>
    <row r="14" ht="24" customHeight="1">
      <c r="A14" s="16" t="inlineStr">
        <is>
          <t>L</t>
        </is>
      </c>
      <c r="B14" s="7" t="n">
        <v>12</v>
      </c>
      <c r="C14" s="13" t="inlineStr">
        <is>
          <t>Caregiver Name&amp;Relationship to patient</t>
        </is>
      </c>
      <c r="D14" s="5" t="inlineStr">
        <is>
          <t>hf_administrative</t>
        </is>
      </c>
      <c r="E14" s="6" t="inlineStr">
        <is>
          <t>caregiver_name, caregiver_relationship</t>
        </is>
      </c>
      <c r="F14" s="7" t="inlineStr">
        <is>
          <t>VARCHAR(200)</t>
        </is>
      </c>
      <c r="G14" s="7" t="inlineStr">
        <is>
          <t>Concatenated</t>
        </is>
      </c>
      <c r="H14" s="6" t="inlineStr">
        <is>
          <t>CONCAT(hf_administrative.caregiver_name, ' (', hf_administrative.caregiver_relationship, ')')</t>
        </is>
      </c>
      <c r="I14" s="6" t="inlineStr">
        <is>
          <t>None</t>
        </is>
      </c>
      <c r="J14" s="5" t="inlineStr">
        <is>
          <t>Nominated relative or caregiver name and relationship</t>
        </is>
      </c>
    </row>
    <row r="15" ht="24" customHeight="1">
      <c r="A15" s="14" t="inlineStr">
        <is>
          <t>M</t>
        </is>
      </c>
      <c r="B15" s="10" t="n">
        <v>13</v>
      </c>
      <c r="C15" s="12" t="inlineStr">
        <is>
          <t>Treating Cardiologist</t>
        </is>
      </c>
      <c r="D15" s="8" t="inlineStr">
        <is>
          <t>hf_administrative</t>
        </is>
      </c>
      <c r="E15" s="9" t="inlineStr">
        <is>
          <t>treating_cardiologist</t>
        </is>
      </c>
      <c r="F15" s="10" t="inlineStr">
        <is>
          <t>VARCHAR(100)</t>
        </is>
      </c>
      <c r="G15" s="15" t="inlineStr">
        <is>
          <t>Direct DB</t>
        </is>
      </c>
      <c r="H15" s="9" t="inlineStr">
        <is>
          <t>hf_administrative.treating_cardiologist</t>
        </is>
      </c>
      <c r="I15" s="9" t="inlineStr">
        <is>
          <t>None</t>
        </is>
      </c>
      <c r="J15" s="8" t="inlineStr">
        <is>
          <t>Primary attending cardiologist responsible for clinical care</t>
        </is>
      </c>
    </row>
    <row r="16" ht="24" customHeight="1">
      <c r="A16" s="16" t="inlineStr">
        <is>
          <t>N</t>
        </is>
      </c>
      <c r="B16" s="7" t="n">
        <v>14</v>
      </c>
      <c r="C16" s="13" t="inlineStr">
        <is>
          <t>Date of visit/hospitalization</t>
        </is>
      </c>
      <c r="D16" s="5" t="inlineStr">
        <is>
          <t>hf_administrative</t>
        </is>
      </c>
      <c r="E16" s="6" t="inlineStr">
        <is>
          <t>visit_date</t>
        </is>
      </c>
      <c r="F16" s="7" t="inlineStr">
        <is>
          <t>DATE</t>
        </is>
      </c>
      <c r="G16" s="15" t="inlineStr">
        <is>
          <t>Direct DB</t>
        </is>
      </c>
      <c r="H16" s="6" t="inlineStr">
        <is>
          <t>hf_administrative.visit_date</t>
        </is>
      </c>
      <c r="I16" s="6" t="inlineStr">
        <is>
          <t>None</t>
        </is>
      </c>
      <c r="J16" s="5" t="inlineStr">
        <is>
          <t>Index date of hospitalization or outpatient heart failure consultation</t>
        </is>
      </c>
    </row>
    <row r="17" ht="24" customHeight="1">
      <c r="A17" s="14" t="inlineStr">
        <is>
          <t>O</t>
        </is>
      </c>
      <c r="B17" s="10" t="n">
        <v>15</v>
      </c>
      <c r="C17" s="12" t="inlineStr">
        <is>
          <t>Discharge Date</t>
        </is>
      </c>
      <c r="D17" s="8" t="inlineStr">
        <is>
          <t>hf_administrative</t>
        </is>
      </c>
      <c r="E17" s="9" t="inlineStr">
        <is>
          <t>discharge_date</t>
        </is>
      </c>
      <c r="F17" s="10" t="inlineStr">
        <is>
          <t>DATE</t>
        </is>
      </c>
      <c r="G17" s="15" t="inlineStr">
        <is>
          <t>Direct DB</t>
        </is>
      </c>
      <c r="H17" s="9" t="inlineStr">
        <is>
          <t>hf_administrative.discharge_date</t>
        </is>
      </c>
      <c r="I17" s="9" t="inlineStr">
        <is>
          <t>None</t>
        </is>
      </c>
      <c r="J17" s="8" t="inlineStr">
        <is>
          <t>Formal hospital discharge date ending inpatient encounter</t>
        </is>
      </c>
    </row>
    <row r="18" ht="24" customHeight="1">
      <c r="A18" s="16" t="inlineStr">
        <is>
          <t>P</t>
        </is>
      </c>
      <c r="B18" s="7" t="n">
        <v>16</v>
      </c>
      <c r="C18" s="13" t="inlineStr">
        <is>
          <t>Present diagnosis</t>
        </is>
      </c>
      <c r="D18" s="5" t="inlineStr">
        <is>
          <t>hf_administrative</t>
        </is>
      </c>
      <c r="E18" s="6" t="inlineStr">
        <is>
          <t>present_diagnosis</t>
        </is>
      </c>
      <c r="F18" s="7" t="inlineStr">
        <is>
          <t>NVARCHAR(MAX)</t>
        </is>
      </c>
      <c r="G18" s="15" t="inlineStr">
        <is>
          <t>Direct DB</t>
        </is>
      </c>
      <c r="H18" s="6" t="inlineStr">
        <is>
          <t>hf_administrative.present_diagnosis</t>
        </is>
      </c>
      <c r="I18" s="6" t="inlineStr">
        <is>
          <t>None</t>
        </is>
      </c>
      <c r="J18" s="5" t="inlineStr">
        <is>
          <t>Primary clinical presentation diagnosis (e.g., 'ADHF/SEV.LVD/SOB')</t>
        </is>
      </c>
    </row>
    <row r="19" ht="24" customHeight="1">
      <c r="A19" s="14" t="inlineStr">
        <is>
          <t>Q</t>
        </is>
      </c>
      <c r="B19" s="10" t="n">
        <v>17</v>
      </c>
      <c r="C19" s="12" t="inlineStr">
        <is>
          <t>Reasons for Admission1</t>
        </is>
      </c>
      <c r="D19" s="8" t="inlineStr">
        <is>
          <t>hf_administrative</t>
        </is>
      </c>
      <c r="E19" s="9" t="inlineStr">
        <is>
          <t>admission_reason</t>
        </is>
      </c>
      <c r="F19" s="10" t="inlineStr">
        <is>
          <t>VARCHAR(100)</t>
        </is>
      </c>
      <c r="G19" s="15" t="inlineStr">
        <is>
          <t>Direct DB</t>
        </is>
      </c>
      <c r="H19" s="9" t="inlineStr">
        <is>
          <t>hf_administrative.admission_reason</t>
        </is>
      </c>
      <c r="I19" s="9" t="inlineStr">
        <is>
          <t>None</t>
        </is>
      </c>
      <c r="J19" s="8" t="inlineStr">
        <is>
          <t>Primary clinical etiology prompting acute admission (e.g., 'Ischemic')</t>
        </is>
      </c>
    </row>
    <row r="20" ht="24" customHeight="1">
      <c r="A20" s="16" t="inlineStr">
        <is>
          <t>R</t>
        </is>
      </c>
      <c r="B20" s="7" t="n">
        <v>18</v>
      </c>
      <c r="C20" s="13" t="inlineStr">
        <is>
          <t>Reasons for Admission2</t>
        </is>
      </c>
      <c r="D20" s="5" t="inlineStr">
        <is>
          <t>hf_administrative</t>
        </is>
      </c>
      <c r="E20" s="6" t="inlineStr">
        <is>
          <t>other_admission_reason</t>
        </is>
      </c>
      <c r="F20" s="7" t="inlineStr">
        <is>
          <t>NVARCHAR(MAX)</t>
        </is>
      </c>
      <c r="G20" s="15" t="inlineStr">
        <is>
          <t>Direct DB</t>
        </is>
      </c>
      <c r="H20" s="6" t="inlineStr">
        <is>
          <t>hf_administrative.other_admission_reason</t>
        </is>
      </c>
      <c r="I20" s="6" t="inlineStr">
        <is>
          <t>None</t>
        </is>
      </c>
      <c r="J20" s="5" t="inlineStr">
        <is>
          <t>Secondary clinical symptom prompting admission (e.g., 'SOB' / Dyspnea)</t>
        </is>
      </c>
    </row>
    <row r="21" ht="24" customHeight="1">
      <c r="A21" s="14" t="inlineStr">
        <is>
          <t>S</t>
        </is>
      </c>
      <c r="B21" s="10" t="n">
        <v>19</v>
      </c>
      <c r="C21" s="12" t="inlineStr">
        <is>
          <t>Reasons for admission3</t>
        </is>
      </c>
      <c r="D21" s="8" t="inlineStr">
        <is>
          <t>hf_administrative</t>
        </is>
      </c>
      <c r="E21" s="9" t="inlineStr">
        <is>
          <t>renal_failure, other_reason</t>
        </is>
      </c>
      <c r="F21" s="10" t="inlineStr">
        <is>
          <t>VARCHAR(100)</t>
        </is>
      </c>
      <c r="G21" s="15" t="inlineStr">
        <is>
          <t>Direct DB</t>
        </is>
      </c>
      <c r="H21" s="9" t="inlineStr">
        <is>
          <t>COALESCE(hf_administrative.other_reason, CASE WHEN hf_administrative.renal_failure='Yes' THEN 'Renal Failure' END)</t>
        </is>
      </c>
      <c r="I21" s="9" t="inlineStr">
        <is>
          <t>None</t>
        </is>
      </c>
      <c r="J21" s="8" t="inlineStr">
        <is>
          <t>Tertiary decompensation trigger or organ failure manifestation</t>
        </is>
      </c>
    </row>
    <row r="22" ht="24" customHeight="1">
      <c r="A22" s="16" t="inlineStr">
        <is>
          <t>T</t>
        </is>
      </c>
      <c r="B22" s="7" t="n">
        <v>20</v>
      </c>
      <c r="C22" s="13" t="inlineStr">
        <is>
          <t>Reasons other than HF</t>
        </is>
      </c>
      <c r="D22" s="5" t="inlineStr">
        <is>
          <t>hf_administrative</t>
        </is>
      </c>
      <c r="E22" s="6" t="inlineStr">
        <is>
          <t>other_reason_details</t>
        </is>
      </c>
      <c r="F22" s="7" t="inlineStr">
        <is>
          <t>NVARCHAR(MAX)</t>
        </is>
      </c>
      <c r="G22" s="15" t="inlineStr">
        <is>
          <t>Direct DB</t>
        </is>
      </c>
      <c r="H22" s="6" t="inlineStr">
        <is>
          <t>hf_administrative.other_reason_details</t>
        </is>
      </c>
      <c r="I22" s="6" t="inlineStr">
        <is>
          <t>None</t>
        </is>
      </c>
      <c r="J22" s="5" t="inlineStr">
        <is>
          <t>Non-cardiac precipitating causes (infections, metabolic decompensation)</t>
        </is>
      </c>
    </row>
    <row r="23" ht="24" customHeight="1">
      <c r="A23" s="14" t="inlineStr">
        <is>
          <t>U</t>
        </is>
      </c>
      <c r="B23" s="10" t="n">
        <v>21</v>
      </c>
      <c r="C23" s="12" t="inlineStr">
        <is>
          <t>Previous Diagnosis</t>
        </is>
      </c>
      <c r="D23" s="8" t="inlineStr">
        <is>
          <t>hf_initial_assessment</t>
        </is>
      </c>
      <c r="E23" s="9" t="inlineStr">
        <is>
          <t>previous_diagnosis</t>
        </is>
      </c>
      <c r="F23" s="10" t="inlineStr">
        <is>
          <t>NVARCHAR(MAX)</t>
        </is>
      </c>
      <c r="G23" s="15" t="inlineStr">
        <is>
          <t>Direct DB</t>
        </is>
      </c>
      <c r="H23" s="9" t="inlineStr">
        <is>
          <t>hf_initial_assessment.previous_diagnosis</t>
        </is>
      </c>
      <c r="I23" s="9" t="inlineStr">
        <is>
          <t>None</t>
        </is>
      </c>
      <c r="J23" s="8" t="inlineStr">
        <is>
          <t>Documented pre-existing chronic conditions (e.g., 'DM/HTN/S/P CABG/CKD')</t>
        </is>
      </c>
    </row>
    <row r="24" ht="24" customHeight="1">
      <c r="A24" s="16" t="inlineStr">
        <is>
          <t>V</t>
        </is>
      </c>
      <c r="B24" s="7" t="n">
        <v>22</v>
      </c>
      <c r="C24" s="13" t="inlineStr">
        <is>
          <t>Medical History</t>
        </is>
      </c>
      <c r="D24" s="5" t="inlineStr">
        <is>
          <t>hf_initial_assessment</t>
        </is>
      </c>
      <c r="E24" s="6" t="inlineStr">
        <is>
          <t>history_cabg, history_ptca, history_stroke, history_past_mi</t>
        </is>
      </c>
      <c r="F24" s="7" t="inlineStr">
        <is>
          <t>VARCHAR(255)</t>
        </is>
      </c>
      <c r="G24" s="7" t="inlineStr">
        <is>
          <t>Concatenated</t>
        </is>
      </c>
      <c r="H24" s="6" t="inlineStr">
        <is>
          <t>CONCAT_WS(', ', CASE WHEN history_cabg='Yes' THEN 'CABG' END, CASE WHEN history_ptca='Yes' THEN 'PTCA' END, CASE WHEN history_past_mi='Yes' THEN 'Past MI' END)</t>
        </is>
      </c>
      <c r="I24" s="6" t="inlineStr">
        <is>
          <t>None</t>
        </is>
      </c>
      <c r="J24" s="5" t="inlineStr">
        <is>
          <t>Prior cardiovascular surgical, interventional, or ischemic events</t>
        </is>
      </c>
    </row>
    <row r="25" ht="24" customHeight="1">
      <c r="A25" s="14" t="inlineStr">
        <is>
          <t>W</t>
        </is>
      </c>
      <c r="B25" s="10" t="n">
        <v>23</v>
      </c>
      <c r="C25" s="12" t="inlineStr">
        <is>
          <t>Recent hospitalization date</t>
        </is>
      </c>
      <c r="D25" s="8" t="inlineStr">
        <is>
          <t>hf_initial_assessment</t>
        </is>
      </c>
      <c r="E25" s="9" t="inlineStr">
        <is>
          <t>recent_hospitalization_dates</t>
        </is>
      </c>
      <c r="F25" s="10" t="inlineStr">
        <is>
          <t>NVARCHAR(255)</t>
        </is>
      </c>
      <c r="G25" s="15" t="inlineStr">
        <is>
          <t>Direct DB</t>
        </is>
      </c>
      <c r="H25" s="9" t="inlineStr">
        <is>
          <t>hf_initial_assessment.recent_hospitalization_dates</t>
        </is>
      </c>
      <c r="I25" s="9" t="inlineStr">
        <is>
          <t>None</t>
        </is>
      </c>
      <c r="J25" s="8" t="inlineStr">
        <is>
          <t>Dates of any previous hospital admissions within past 6 to 12 months</t>
        </is>
      </c>
    </row>
    <row r="26" ht="24" customHeight="1">
      <c r="A26" s="16" t="inlineStr">
        <is>
          <t>X</t>
        </is>
      </c>
      <c r="B26" s="7" t="n">
        <v>24</v>
      </c>
      <c r="C26" s="13" t="inlineStr">
        <is>
          <t>Reason for hospitalization</t>
        </is>
      </c>
      <c r="D26" s="5" t="inlineStr">
        <is>
          <t>hf_initial_assessment</t>
        </is>
      </c>
      <c r="E26" s="6" t="inlineStr">
        <is>
          <t>recent_hospitalization_reasons</t>
        </is>
      </c>
      <c r="F26" s="7" t="inlineStr">
        <is>
          <t>NVARCHAR(MAX)</t>
        </is>
      </c>
      <c r="G26" s="15" t="inlineStr">
        <is>
          <t>Direct DB</t>
        </is>
      </c>
      <c r="H26" s="6" t="inlineStr">
        <is>
          <t>hf_initial_assessment.recent_hospitalization_reasons</t>
        </is>
      </c>
      <c r="I26" s="6" t="inlineStr">
        <is>
          <t>None</t>
        </is>
      </c>
      <c r="J26" s="5" t="inlineStr">
        <is>
          <t>Documented diagnoses for preceding hospital admissions</t>
        </is>
      </c>
    </row>
    <row r="27" ht="24" customHeight="1">
      <c r="A27" s="14" t="inlineStr">
        <is>
          <t>Y</t>
        </is>
      </c>
      <c r="B27" s="10" t="n">
        <v>25</v>
      </c>
      <c r="C27" s="12" t="inlineStr">
        <is>
          <t>VT/VF risk assessment</t>
        </is>
      </c>
      <c r="D27" s="8" t="inlineStr">
        <is>
          <t>hf_initial_assessment</t>
        </is>
      </c>
      <c r="E27" s="9" t="inlineStr">
        <is>
          <t>documented_vt_vf, documented_nsvt, documented_pvcs</t>
        </is>
      </c>
      <c r="F27" s="10" t="inlineStr">
        <is>
          <t>VARCHAR(100)</t>
        </is>
      </c>
      <c r="G27" s="10" t="inlineStr">
        <is>
          <t>Derived</t>
        </is>
      </c>
      <c r="H27" s="9" t="inlineStr">
        <is>
          <t>CASE WHEN documented_vt_vf='Yes' THEN 'Documented VT/VF' WHEN documented_nsvt='Yes' THEN 'Documented NSVT' WHEN documented_pvcs='Yes' THEN 'Documented PVCs' ELSE 'No Malignant Arrhythmia' END</t>
        </is>
      </c>
      <c r="I27" s="9" t="inlineStr">
        <is>
          <t>None</t>
        </is>
      </c>
      <c r="J27" s="8" t="inlineStr">
        <is>
          <t>Malignant ventricular arrhythmogenic risk stratifier</t>
        </is>
      </c>
    </row>
    <row r="28" ht="24" customHeight="1">
      <c r="A28" s="16" t="inlineStr">
        <is>
          <t>Z</t>
        </is>
      </c>
      <c r="B28" s="7" t="n">
        <v>26</v>
      </c>
      <c r="C28" s="13" t="inlineStr">
        <is>
          <t>Weight</t>
        </is>
      </c>
      <c r="D28" s="5" t="inlineStr">
        <is>
          <t>hf_initial_assessment</t>
        </is>
      </c>
      <c r="E28" s="6" t="inlineStr">
        <is>
          <t>weight</t>
        </is>
      </c>
      <c r="F28" s="7" t="inlineStr">
        <is>
          <t>DECIMAL(5,2)</t>
        </is>
      </c>
      <c r="G28" s="15" t="inlineStr">
        <is>
          <t>Direct DB</t>
        </is>
      </c>
      <c r="H28" s="6" t="inlineStr">
        <is>
          <t>hf_initial_assessment.weight</t>
        </is>
      </c>
      <c r="I28" s="6" t="inlineStr">
        <is>
          <t>None</t>
        </is>
      </c>
      <c r="J28" s="5" t="inlineStr">
        <is>
          <t>Patient body weight in kilograms measured at baseline</t>
        </is>
      </c>
    </row>
    <row r="29" ht="24" customHeight="1">
      <c r="A29" s="14" t="inlineStr">
        <is>
          <t>AA</t>
        </is>
      </c>
      <c r="B29" s="10" t="n">
        <v>27</v>
      </c>
      <c r="C29" s="12" t="inlineStr">
        <is>
          <t>Height</t>
        </is>
      </c>
      <c r="D29" s="8" t="inlineStr">
        <is>
          <t>hf_initial_assessment</t>
        </is>
      </c>
      <c r="E29" s="9" t="inlineStr">
        <is>
          <t>height</t>
        </is>
      </c>
      <c r="F29" s="10" t="inlineStr">
        <is>
          <t>DECIMAL(5,2)</t>
        </is>
      </c>
      <c r="G29" s="15" t="inlineStr">
        <is>
          <t>Direct DB</t>
        </is>
      </c>
      <c r="H29" s="9" t="inlineStr">
        <is>
          <t>hf_initial_assessment.height</t>
        </is>
      </c>
      <c r="I29" s="9" t="inlineStr">
        <is>
          <t>None</t>
        </is>
      </c>
      <c r="J29" s="8" t="inlineStr">
        <is>
          <t>Patient height in meters or feet/inches measured at baseline</t>
        </is>
      </c>
    </row>
    <row r="30" ht="24" customHeight="1">
      <c r="A30" s="16" t="inlineStr">
        <is>
          <t>AB</t>
        </is>
      </c>
      <c r="B30" s="7" t="n">
        <v>28</v>
      </c>
      <c r="C30" s="13" t="inlineStr">
        <is>
          <t>Heart rate</t>
        </is>
      </c>
      <c r="D30" s="5" t="inlineStr">
        <is>
          <t>hf_initial_assessment</t>
        </is>
      </c>
      <c r="E30" s="6" t="inlineStr">
        <is>
          <t>heart_rate</t>
        </is>
      </c>
      <c r="F30" s="7" t="inlineStr">
        <is>
          <t>INT</t>
        </is>
      </c>
      <c r="G30" s="15" t="inlineStr">
        <is>
          <t>Direct DB</t>
        </is>
      </c>
      <c r="H30" s="6" t="inlineStr">
        <is>
          <t>hf_initial_assessment.heart_rate</t>
        </is>
      </c>
      <c r="I30" s="6" t="inlineStr">
        <is>
          <t>None</t>
        </is>
      </c>
      <c r="J30" s="5" t="inlineStr">
        <is>
          <t>Resting heart rate in beats per minute (bpm)</t>
        </is>
      </c>
    </row>
    <row r="31" ht="24" customHeight="1">
      <c r="A31" s="14" t="inlineStr">
        <is>
          <t>AC</t>
        </is>
      </c>
      <c r="B31" s="10" t="n">
        <v>29</v>
      </c>
      <c r="C31" s="12" t="inlineStr">
        <is>
          <t>Heart rate variability</t>
        </is>
      </c>
      <c r="D31" s="8" t="inlineStr">
        <is>
          <t>hf_initial_assessment</t>
        </is>
      </c>
      <c r="E31" s="9" t="inlineStr">
        <is>
          <t>heart_rate_regular, heart_rate_irregular</t>
        </is>
      </c>
      <c r="F31" s="10" t="inlineStr">
        <is>
          <t>VARCHAR(20)</t>
        </is>
      </c>
      <c r="G31" s="10" t="inlineStr">
        <is>
          <t>Derived</t>
        </is>
      </c>
      <c r="H31" s="9" t="inlineStr">
        <is>
          <t>CASE WHEN heart_rate_regular='Yes' THEN 'Regular' WHEN heart_rate_irregular='Yes' THEN 'Irregular' ELSE 'Unspecified' END</t>
        </is>
      </c>
      <c r="I31" s="9" t="inlineStr">
        <is>
          <t>None</t>
        </is>
      </c>
      <c r="J31" s="8" t="inlineStr">
        <is>
          <t>Pulse rhythm regularity or variability assessment</t>
        </is>
      </c>
    </row>
    <row r="32" ht="24" customHeight="1">
      <c r="A32" s="16" t="inlineStr">
        <is>
          <t>AD</t>
        </is>
      </c>
      <c r="B32" s="7" t="n">
        <v>30</v>
      </c>
      <c r="C32" s="13" t="inlineStr">
        <is>
          <t>Respiratory rate</t>
        </is>
      </c>
      <c r="D32" s="5" t="inlineStr">
        <is>
          <t>hf_initial_assessment</t>
        </is>
      </c>
      <c r="E32" s="6" t="inlineStr">
        <is>
          <t>respiratory_rate</t>
        </is>
      </c>
      <c r="F32" s="7" t="inlineStr">
        <is>
          <t>INT</t>
        </is>
      </c>
      <c r="G32" s="15" t="inlineStr">
        <is>
          <t>Direct DB</t>
        </is>
      </c>
      <c r="H32" s="6" t="inlineStr">
        <is>
          <t>hf_initial_assessment.respiratory_rate</t>
        </is>
      </c>
      <c r="I32" s="6" t="inlineStr">
        <is>
          <t>None</t>
        </is>
      </c>
      <c r="J32" s="5" t="inlineStr">
        <is>
          <t>Baseline resting respiratory rate (breaths per minute)</t>
        </is>
      </c>
    </row>
    <row r="33" ht="24" customHeight="1">
      <c r="A33" s="14" t="inlineStr">
        <is>
          <t>AE</t>
        </is>
      </c>
      <c r="B33" s="10" t="n">
        <v>31</v>
      </c>
      <c r="C33" s="12" t="inlineStr">
        <is>
          <t>Column2 (Oxygen Saturation)</t>
        </is>
      </c>
      <c r="D33" s="8" t="inlineStr">
        <is>
          <t>hf_initial_assessment</t>
        </is>
      </c>
      <c r="E33" s="9" t="inlineStr">
        <is>
          <t>oxygen_saturation</t>
        </is>
      </c>
      <c r="F33" s="10" t="inlineStr">
        <is>
          <t>DECIMAL(4,1)</t>
        </is>
      </c>
      <c r="G33" s="15" t="inlineStr">
        <is>
          <t>Direct DB</t>
        </is>
      </c>
      <c r="H33" s="9" t="inlineStr">
        <is>
          <t>hf_initial_assessment.oxygen_saturation</t>
        </is>
      </c>
      <c r="I33" s="9" t="inlineStr">
        <is>
          <t>None</t>
        </is>
      </c>
      <c r="J33" s="8" t="inlineStr">
        <is>
          <t>Pulse oximetry arterial oxygen saturation percentage (SpO2 %)</t>
        </is>
      </c>
    </row>
    <row r="34" ht="24" customHeight="1">
      <c r="A34" s="16" t="inlineStr">
        <is>
          <t>AF</t>
        </is>
      </c>
      <c r="B34" s="7" t="n">
        <v>32</v>
      </c>
      <c r="C34" s="13" t="inlineStr">
        <is>
          <t>Blood pressure sitting</t>
        </is>
      </c>
      <c r="D34" s="5" t="inlineStr">
        <is>
          <t>hf_initial_assessment</t>
        </is>
      </c>
      <c r="E34" s="6" t="inlineStr">
        <is>
          <t>systolic_bp_sitting, diastolic_bp_sitting</t>
        </is>
      </c>
      <c r="F34" s="7" t="inlineStr">
        <is>
          <t>VARCHAR(20)</t>
        </is>
      </c>
      <c r="G34" s="7" t="inlineStr">
        <is>
          <t>Concatenated</t>
        </is>
      </c>
      <c r="H34" s="6" t="inlineStr">
        <is>
          <t>CONCAT(hf_initial_assessment.systolic_bp_sitting, '/', hf_initial_assessment.diastolic_bp_sitting)</t>
        </is>
      </c>
      <c r="I34" s="6" t="inlineStr">
        <is>
          <t>None</t>
        </is>
      </c>
      <c r="J34" s="5" t="inlineStr">
        <is>
          <t>Seated arterial blood pressure reading (SBP/DBP mmHg)</t>
        </is>
      </c>
    </row>
    <row r="35" ht="24" customHeight="1">
      <c r="A35" s="14" t="inlineStr">
        <is>
          <t>AG</t>
        </is>
      </c>
      <c r="B35" s="10" t="n">
        <v>33</v>
      </c>
      <c r="C35" s="12" t="inlineStr">
        <is>
          <t>Blood pressure standing</t>
        </is>
      </c>
      <c r="D35" s="8" t="inlineStr">
        <is>
          <t>hf_initial_assessment</t>
        </is>
      </c>
      <c r="E35" s="9" t="inlineStr">
        <is>
          <t>systolic_bp_standing, diastolic_bp_standing</t>
        </is>
      </c>
      <c r="F35" s="10" t="inlineStr">
        <is>
          <t>VARCHAR(20)</t>
        </is>
      </c>
      <c r="G35" s="10" t="inlineStr">
        <is>
          <t>Concatenated</t>
        </is>
      </c>
      <c r="H35" s="9" t="inlineStr">
        <is>
          <t>CONCAT(hf_initial_assessment.systolic_bp_standing, '/', hf_initial_assessment.diastolic_bp_standing)</t>
        </is>
      </c>
      <c r="I35" s="9" t="inlineStr">
        <is>
          <t>None</t>
        </is>
      </c>
      <c r="J35" s="8" t="inlineStr">
        <is>
          <t>Standing arterial blood pressure reading for orthostatic evaluation</t>
        </is>
      </c>
    </row>
    <row r="36" ht="24" customHeight="1">
      <c r="A36" s="16" t="inlineStr">
        <is>
          <t>AH</t>
        </is>
      </c>
      <c r="B36" s="7" t="n">
        <v>34</v>
      </c>
      <c r="C36" s="13" t="inlineStr">
        <is>
          <t>Mental status</t>
        </is>
      </c>
      <c r="D36" s="5" t="inlineStr">
        <is>
          <t>hf_initial_assessment</t>
        </is>
      </c>
      <c r="E36" s="6" t="inlineStr">
        <is>
          <t>mental_status_alert_oriented, mental_status_confused, mental_status_drowsy</t>
        </is>
      </c>
      <c r="F36" s="7" t="inlineStr">
        <is>
          <t>VARCHAR(30)</t>
        </is>
      </c>
      <c r="G36" s="7" t="inlineStr">
        <is>
          <t>Derived</t>
        </is>
      </c>
      <c r="H36" s="6" t="inlineStr">
        <is>
          <t>CASE WHEN mental_status_alert_oriented='Yes' THEN 'Alert/oriented' WHEN mental_status_confused='Yes' THEN 'Confused' WHEN mental_status_drowsy='Yes' THEN 'Drowsy' END</t>
        </is>
      </c>
      <c r="I36" s="6" t="inlineStr">
        <is>
          <t>None</t>
        </is>
      </c>
      <c r="J36" s="5" t="inlineStr">
        <is>
          <t>Neurological consciousness and orientation assessment</t>
        </is>
      </c>
    </row>
    <row r="37" ht="24" customHeight="1">
      <c r="A37" s="14" t="inlineStr">
        <is>
          <t>AI</t>
        </is>
      </c>
      <c r="B37" s="10" t="n">
        <v>35</v>
      </c>
      <c r="C37" s="12" t="inlineStr">
        <is>
          <t>Symptoms1</t>
        </is>
      </c>
      <c r="D37" s="8" t="inlineStr">
        <is>
          <t>hf_initial_assessment</t>
        </is>
      </c>
      <c r="E37" s="9" t="inlineStr">
        <is>
          <t>dyspnea_at_rest, dyspnea_with_exertion</t>
        </is>
      </c>
      <c r="F37" s="10" t="inlineStr">
        <is>
          <t>VARCHAR(50)</t>
        </is>
      </c>
      <c r="G37" s="10" t="inlineStr">
        <is>
          <t>Derived</t>
        </is>
      </c>
      <c r="H37" s="9" t="inlineStr">
        <is>
          <t>CASE WHEN dyspnea_at_rest='Yes' THEN 'Dyspnea at rest' WHEN dyspnea_with_exertion='Yes' THEN 'Dyspnea with exertion' END</t>
        </is>
      </c>
      <c r="I37" s="9" t="inlineStr">
        <is>
          <t>None</t>
        </is>
      </c>
      <c r="J37" s="8" t="inlineStr">
        <is>
          <t>Primary exertional / rest respiratory symptom</t>
        </is>
      </c>
    </row>
    <row r="38" ht="24" customHeight="1">
      <c r="A38" s="16" t="inlineStr">
        <is>
          <t>AJ</t>
        </is>
      </c>
      <c r="B38" s="7" t="n">
        <v>36</v>
      </c>
      <c r="C38" s="13" t="inlineStr">
        <is>
          <t>Symptoms2</t>
        </is>
      </c>
      <c r="D38" s="5" t="inlineStr">
        <is>
          <t>hf_initial_assessment</t>
        </is>
      </c>
      <c r="E38" s="6" t="inlineStr">
        <is>
          <t>fatigue, orthopnea, pnd</t>
        </is>
      </c>
      <c r="F38" s="7" t="inlineStr">
        <is>
          <t>VARCHAR(50)</t>
        </is>
      </c>
      <c r="G38" s="7" t="inlineStr">
        <is>
          <t>Derived</t>
        </is>
      </c>
      <c r="H38" s="6" t="inlineStr">
        <is>
          <t>CASE WHEN orthopnea='Yes' THEN 'Orthopnea' WHEN pnd='Yes' THEN 'PND' WHEN fatigue='Yes' THEN 'Fatigue' END</t>
        </is>
      </c>
      <c r="I38" s="6" t="inlineStr">
        <is>
          <t>None</t>
        </is>
      </c>
      <c r="J38" s="5" t="inlineStr">
        <is>
          <t>Secondary clinical heart failure symptom</t>
        </is>
      </c>
    </row>
    <row r="39" ht="24" customHeight="1">
      <c r="A39" s="14" t="inlineStr">
        <is>
          <t>AK</t>
        </is>
      </c>
      <c r="B39" s="10" t="n">
        <v>37</v>
      </c>
      <c r="C39" s="12" t="inlineStr">
        <is>
          <t>Symptoms3</t>
        </is>
      </c>
      <c r="D39" s="8" t="inlineStr">
        <is>
          <t>hf_initial_assessment</t>
        </is>
      </c>
      <c r="E39" s="9" t="inlineStr">
        <is>
          <t>syncope, giddiness, muscle_cramps, symptom_other_details</t>
        </is>
      </c>
      <c r="F39" s="10" t="inlineStr">
        <is>
          <t>VARCHAR(50)</t>
        </is>
      </c>
      <c r="G39" s="10" t="inlineStr">
        <is>
          <t>Derived</t>
        </is>
      </c>
      <c r="H39" s="9" t="inlineStr">
        <is>
          <t>COALESCE(symptom_other_details, CASE WHEN syncope='Yes' THEN 'Syncope' WHEN giddiness='Yes' THEN 'Giddiness' END)</t>
        </is>
      </c>
      <c r="I39" s="9" t="inlineStr">
        <is>
          <t>None</t>
        </is>
      </c>
      <c r="J39" s="8" t="inlineStr">
        <is>
          <t>Tertiary or neurocardiogenic symptom</t>
        </is>
      </c>
    </row>
    <row r="40" ht="24" customHeight="1">
      <c r="A40" s="16" t="inlineStr">
        <is>
          <t>AL</t>
        </is>
      </c>
      <c r="B40" s="7" t="n">
        <v>38</v>
      </c>
      <c r="C40" s="13" t="inlineStr">
        <is>
          <t>Clinical signs of volume overload1</t>
        </is>
      </c>
      <c r="D40" s="5" t="inlineStr">
        <is>
          <t>hf_initial_assessment</t>
        </is>
      </c>
      <c r="E40" s="6" t="inlineStr">
        <is>
          <t>peripheral_edema, ascites</t>
        </is>
      </c>
      <c r="F40" s="7" t="inlineStr">
        <is>
          <t>VARCHAR(50)</t>
        </is>
      </c>
      <c r="G40" s="7" t="inlineStr">
        <is>
          <t>Derived</t>
        </is>
      </c>
      <c r="H40" s="6" t="inlineStr">
        <is>
          <t>CASE WHEN peripheral_edema='Yes' THEN 'Peripheral Edema' WHEN ascites='Yes' THEN 'Ascites' END</t>
        </is>
      </c>
      <c r="I40" s="6" t="inlineStr">
        <is>
          <t>None</t>
        </is>
      </c>
      <c r="J40" s="5" t="inlineStr">
        <is>
          <t>Primary sign of systemic venous congestion</t>
        </is>
      </c>
    </row>
    <row r="41" ht="24" customHeight="1">
      <c r="A41" s="14" t="inlineStr">
        <is>
          <t>AM</t>
        </is>
      </c>
      <c r="B41" s="10" t="n">
        <v>39</v>
      </c>
      <c r="C41" s="12" t="inlineStr">
        <is>
          <t>Clinical signs of volume overload2</t>
        </is>
      </c>
      <c r="D41" s="8" t="inlineStr">
        <is>
          <t>hf_initial_assessment</t>
        </is>
      </c>
      <c r="E41" s="9" t="inlineStr">
        <is>
          <t>rales, jugular_venous_pressure, hepatomegaly</t>
        </is>
      </c>
      <c r="F41" s="10" t="inlineStr">
        <is>
          <t>VARCHAR(50)</t>
        </is>
      </c>
      <c r="G41" s="10" t="inlineStr">
        <is>
          <t>Derived</t>
        </is>
      </c>
      <c r="H41" s="9" t="inlineStr">
        <is>
          <t>CASE WHEN rales='Yes' THEN 'Rales' WHEN jugular_venous_pressure='Yes' THEN 'Elevated JVP' WHEN hepatomegaly='Yes' THEN 'Hepatomegaly' END</t>
        </is>
      </c>
      <c r="I41" s="9" t="inlineStr">
        <is>
          <t>None</t>
        </is>
      </c>
      <c r="J41" s="8" t="inlineStr">
        <is>
          <t>Secondary sign of pulmonary or central venous congestion</t>
        </is>
      </c>
    </row>
    <row r="42" ht="24" customHeight="1">
      <c r="A42" s="16" t="inlineStr">
        <is>
          <t>AN</t>
        </is>
      </c>
      <c r="B42" s="7" t="n">
        <v>40</v>
      </c>
      <c r="C42" s="13" t="inlineStr">
        <is>
          <t>Type of Heart failure</t>
        </is>
      </c>
      <c r="D42" s="5" t="inlineStr">
        <is>
          <t>hf_final_clinical_assessment</t>
        </is>
      </c>
      <c r="E42" s="6" t="inlineStr">
        <is>
          <t>hfref, hfpef</t>
        </is>
      </c>
      <c r="F42" s="7" t="inlineStr">
        <is>
          <t>VARCHAR(10)</t>
        </is>
      </c>
      <c r="G42" s="7" t="inlineStr">
        <is>
          <t>Derived</t>
        </is>
      </c>
      <c r="H42" s="6" t="inlineStr">
        <is>
          <t>CASE WHEN hfref='Yes' THEN 'HFrEF' WHEN hfpef='Yes' THEN 'HFpEF' ELSE 'HFmrEF' END</t>
        </is>
      </c>
      <c r="I42" s="6" t="inlineStr">
        <is>
          <t>None</t>
        </is>
      </c>
      <c r="J42" s="5" t="inlineStr">
        <is>
          <t>Heart failure phenotype classification (HFrEF &lt;=40%, HFmrEF 41-49%, HFpEF &gt;=50%)</t>
        </is>
      </c>
    </row>
    <row r="43" ht="24" customHeight="1">
      <c r="A43" s="14" t="inlineStr">
        <is>
          <t>AO</t>
        </is>
      </c>
      <c r="B43" s="10" t="n">
        <v>41</v>
      </c>
      <c r="C43" s="12" t="inlineStr">
        <is>
          <t>Comorbidities1</t>
        </is>
      </c>
      <c r="D43" s="8" t="inlineStr">
        <is>
          <t>hf_final_clinical_assessment</t>
        </is>
      </c>
      <c r="E43" s="9" t="inlineStr">
        <is>
          <t>hypertension</t>
        </is>
      </c>
      <c r="F43" s="10" t="inlineStr">
        <is>
          <t>VARCHAR(50)</t>
        </is>
      </c>
      <c r="G43" s="10" t="inlineStr">
        <is>
          <t>Derived</t>
        </is>
      </c>
      <c r="H43" s="9" t="inlineStr">
        <is>
          <t>CASE WHEN hf_final_clinical_assessment.hypertension='Yes' OR patient_demographics.hypertension='Yes' THEN 'Hypertension' END</t>
        </is>
      </c>
      <c r="I43" s="9" t="inlineStr">
        <is>
          <t>None</t>
        </is>
      </c>
      <c r="J43" s="8" t="inlineStr">
        <is>
          <t>Primary vascular comorbidity flag</t>
        </is>
      </c>
    </row>
    <row r="44" ht="24" customHeight="1">
      <c r="A44" s="16" t="inlineStr">
        <is>
          <t>AP</t>
        </is>
      </c>
      <c r="B44" s="7" t="n">
        <v>42</v>
      </c>
      <c r="C44" s="13" t="inlineStr">
        <is>
          <t>Comorbidities2</t>
        </is>
      </c>
      <c r="D44" s="5" t="inlineStr">
        <is>
          <t>hf_final_clinical_assessment</t>
        </is>
      </c>
      <c r="E44" s="6" t="inlineStr">
        <is>
          <t>cad, valvular_disease</t>
        </is>
      </c>
      <c r="F44" s="7" t="inlineStr">
        <is>
          <t>VARCHAR(50)</t>
        </is>
      </c>
      <c r="G44" s="7" t="inlineStr">
        <is>
          <t>Derived</t>
        </is>
      </c>
      <c r="H44" s="6" t="inlineStr">
        <is>
          <t>CASE WHEN cad='Yes' THEN 'Coronary Artery Disease' WHEN valvular_disease='Yes' THEN 'Valvular Disease' END</t>
        </is>
      </c>
      <c r="I44" s="6" t="inlineStr">
        <is>
          <t>None</t>
        </is>
      </c>
      <c r="J44" s="5" t="inlineStr">
        <is>
          <t>Structural / ischemic cardiac comorbidity</t>
        </is>
      </c>
    </row>
    <row r="45" ht="24" customHeight="1">
      <c r="A45" s="14" t="inlineStr">
        <is>
          <t>AQ</t>
        </is>
      </c>
      <c r="B45" s="10" t="n">
        <v>43</v>
      </c>
      <c r="C45" s="12" t="inlineStr">
        <is>
          <t>Comorbidities3</t>
        </is>
      </c>
      <c r="D45" s="8" t="inlineStr">
        <is>
          <t>hf_final_clinical_assessment</t>
        </is>
      </c>
      <c r="E45" s="9" t="inlineStr">
        <is>
          <t>diabetes_mellitus</t>
        </is>
      </c>
      <c r="F45" s="10" t="inlineStr">
        <is>
          <t>VARCHAR(50)</t>
        </is>
      </c>
      <c r="G45" s="10" t="inlineStr">
        <is>
          <t>Derived</t>
        </is>
      </c>
      <c r="H45" s="9" t="inlineStr">
        <is>
          <t>CASE WHEN hf_final_clinical_assessment.diabetes_mellitus='Yes' OR patient_demographics.diabetes='Yes' THEN 'Diabetes mellitus' END</t>
        </is>
      </c>
      <c r="I45" s="9" t="inlineStr">
        <is>
          <t>None</t>
        </is>
      </c>
      <c r="J45" s="8" t="inlineStr">
        <is>
          <t>Metabolic comorbidity flag</t>
        </is>
      </c>
    </row>
    <row r="46" ht="24" customHeight="1">
      <c r="A46" s="16" t="inlineStr">
        <is>
          <t>AR</t>
        </is>
      </c>
      <c r="B46" s="7" t="n">
        <v>44</v>
      </c>
      <c r="C46" s="13" t="inlineStr">
        <is>
          <t>Comorbidities4</t>
        </is>
      </c>
      <c r="D46" s="5" t="inlineStr">
        <is>
          <t>hf_final_clinical_assessment</t>
        </is>
      </c>
      <c r="E46" s="6" t="inlineStr">
        <is>
          <t>renal_failure, copd, asthma, anemia</t>
        </is>
      </c>
      <c r="F46" s="7" t="inlineStr">
        <is>
          <t>VARCHAR(50)</t>
        </is>
      </c>
      <c r="G46" s="7" t="inlineStr">
        <is>
          <t>Derived</t>
        </is>
      </c>
      <c r="H46" s="6" t="inlineStr">
        <is>
          <t>CASE WHEN renal_failure='Yes' THEN 'Renal Failure' WHEN copd='Yes' THEN 'COPD' WHEN asthma='Yes' THEN 'Asthma' WHEN anemia='Yes' THEN 'Anemia' END</t>
        </is>
      </c>
      <c r="I46" s="6" t="inlineStr">
        <is>
          <t>None</t>
        </is>
      </c>
      <c r="J46" s="5" t="inlineStr">
        <is>
          <t>Extracardiac chronic organ disease</t>
        </is>
      </c>
    </row>
    <row r="47" ht="24" customHeight="1">
      <c r="A47" s="14" t="inlineStr">
        <is>
          <t>AS</t>
        </is>
      </c>
      <c r="B47" s="10" t="n">
        <v>45</v>
      </c>
      <c r="C47" s="12" t="inlineStr">
        <is>
          <t>Risk factors1</t>
        </is>
      </c>
      <c r="D47" s="8" t="inlineStr">
        <is>
          <t>hf_final_clinical_assessment</t>
        </is>
      </c>
      <c r="E47" s="9" t="inlineStr">
        <is>
          <t>smoking, alcohol, risk_factor_other_details</t>
        </is>
      </c>
      <c r="F47" s="10" t="inlineStr">
        <is>
          <t>VARCHAR(50)</t>
        </is>
      </c>
      <c r="G47" s="10" t="inlineStr">
        <is>
          <t>Derived</t>
        </is>
      </c>
      <c r="H47" s="9" t="inlineStr">
        <is>
          <t>CASE WHEN smoking='Yes' THEN 'Smoking' WHEN alcohol='Yes' THEN 'Alcohol' ELSE risk_factor_other_details END</t>
        </is>
      </c>
      <c r="I47" s="9" t="inlineStr">
        <is>
          <t>None</t>
        </is>
      </c>
      <c r="J47" s="8" t="inlineStr">
        <is>
          <t>Behavioral / lifestyle cardiovascular risk factors</t>
        </is>
      </c>
    </row>
    <row r="48" ht="24" customHeight="1">
      <c r="A48" s="16" t="inlineStr">
        <is>
          <t>AT</t>
        </is>
      </c>
      <c r="B48" s="7" t="n">
        <v>46</v>
      </c>
      <c r="C48" s="13" t="inlineStr">
        <is>
          <t>Stage of HF</t>
        </is>
      </c>
      <c r="D48" s="5" t="inlineStr">
        <is>
          <t>hf_final_clinical_assessment</t>
        </is>
      </c>
      <c r="E48" s="6" t="inlineStr">
        <is>
          <t>stage_a, stage_b, stage_c, stage_d</t>
        </is>
      </c>
      <c r="F48" s="7" t="inlineStr">
        <is>
          <t>VARCHAR(5)</t>
        </is>
      </c>
      <c r="G48" s="7" t="inlineStr">
        <is>
          <t>Derived</t>
        </is>
      </c>
      <c r="H48" s="6" t="inlineStr">
        <is>
          <t>CASE WHEN stage_d='Yes' THEN 'D' WHEN stage_c='Yes' THEN 'C' WHEN stage_b='Yes' THEN 'B' WHEN stage_a='Yes' THEN 'A' END</t>
        </is>
      </c>
      <c r="I48" s="6" t="inlineStr">
        <is>
          <t>None</t>
        </is>
      </c>
      <c r="J48" s="5" t="inlineStr">
        <is>
          <t>ACC/AHA heart failure progressive staging classification</t>
        </is>
      </c>
    </row>
    <row r="49" ht="24" customHeight="1">
      <c r="A49" s="14" t="inlineStr">
        <is>
          <t>AU</t>
        </is>
      </c>
      <c r="B49" s="10" t="n">
        <v>47</v>
      </c>
      <c r="C49" s="12" t="inlineStr">
        <is>
          <t>Functional Status</t>
        </is>
      </c>
      <c r="D49" s="8" t="inlineStr">
        <is>
          <t>hf_final_clinical_assessment</t>
        </is>
      </c>
      <c r="E49" s="9" t="inlineStr">
        <is>
          <t>nyha_class_1, nyha_class_2, nyha_class_3, nyha_class_4</t>
        </is>
      </c>
      <c r="F49" s="10" t="inlineStr">
        <is>
          <t>VARCHAR(20)</t>
        </is>
      </c>
      <c r="G49" s="10" t="inlineStr">
        <is>
          <t>Derived</t>
        </is>
      </c>
      <c r="H49" s="9" t="inlineStr">
        <is>
          <t>CASE WHEN nyha_class_4='Yes' THEN 'NYHA class IV' WHEN nyha_class_3='Yes' THEN 'NYHA class III' WHEN nyha_class_2='Yes' THEN 'NYHA class II' WHEN nyha_class_1='Yes' THEN 'NYHA class I' END</t>
        </is>
      </c>
      <c r="I49" s="9" t="inlineStr">
        <is>
          <t>None</t>
        </is>
      </c>
      <c r="J49" s="8" t="inlineStr">
        <is>
          <t>New York Heart Association symptomatic functional capacity class</t>
        </is>
      </c>
    </row>
    <row r="50" ht="24" customHeight="1">
      <c r="A50" s="16" t="inlineStr">
        <is>
          <t>AV</t>
        </is>
      </c>
      <c r="B50" s="7" t="n">
        <v>48</v>
      </c>
      <c r="C50" s="13" t="inlineStr">
        <is>
          <t>AF status</t>
        </is>
      </c>
      <c r="D50" s="5" t="inlineStr">
        <is>
          <t>hf_final_clinical_assessment</t>
        </is>
      </c>
      <c r="E50" s="6" t="inlineStr">
        <is>
          <t>af_permanent, af_paroxysmal, af_persistent, af_nsr</t>
        </is>
      </c>
      <c r="F50" s="7" t="inlineStr">
        <is>
          <t>VARCHAR(20)</t>
        </is>
      </c>
      <c r="G50" s="7" t="inlineStr">
        <is>
          <t>Derived</t>
        </is>
      </c>
      <c r="H50" s="6" t="inlineStr">
        <is>
          <t>CASE WHEN af_permanent='Yes' THEN 'Permanent AF' WHEN af_paroxysmal='Yes' THEN 'Paroxysmal AF' WHEN af_persistent='Yes' THEN 'Persistent AF' WHEN af_nsr='Yes' THEN 'NSR' END</t>
        </is>
      </c>
      <c r="I50" s="6" t="inlineStr">
        <is>
          <t>None</t>
        </is>
      </c>
      <c r="J50" s="5" t="inlineStr">
        <is>
          <t>Atrial fibrillation / normal sinus rhythm status</t>
        </is>
      </c>
    </row>
    <row r="51" ht="24" customHeight="1">
      <c r="A51" s="14" t="inlineStr">
        <is>
          <t>AW</t>
        </is>
      </c>
      <c r="B51" s="10" t="n">
        <v>49</v>
      </c>
      <c r="C51" s="12" t="inlineStr">
        <is>
          <t>Major adverse cardiac events (Y/N)</t>
        </is>
      </c>
      <c r="D51" s="8" t="inlineStr">
        <is>
          <t>hf_final_clinical_assessment</t>
        </is>
      </c>
      <c r="E51" s="9" t="inlineStr">
        <is>
          <t>mace_hospitalization, mace_stroke, mace_major_bleed, mace_severe_arrhythmia, mace_major_procedure, mace_death</t>
        </is>
      </c>
      <c r="F51" s="10" t="inlineStr">
        <is>
          <t>VARCHAR(5)</t>
        </is>
      </c>
      <c r="G51" s="10" t="inlineStr">
        <is>
          <t>Derived</t>
        </is>
      </c>
      <c r="H51" s="9" t="inlineStr">
        <is>
          <t>CASE WHEN 'Yes' IN (mace_hospitalization, mace_stroke, mace_major_bleed, mace_severe_arrhythmia, mace_major_procedure, mace_death) THEN 'YES' ELSE 'NO' END</t>
        </is>
      </c>
      <c r="I51" s="9" t="inlineStr">
        <is>
          <t>None</t>
        </is>
      </c>
      <c r="J51" s="8" t="inlineStr">
        <is>
          <t>Composite MACE occurrence flag during episode</t>
        </is>
      </c>
    </row>
    <row r="52" ht="24" customHeight="1">
      <c r="A52" s="16" t="inlineStr">
        <is>
          <t>AX</t>
        </is>
      </c>
      <c r="B52" s="7" t="n">
        <v>50</v>
      </c>
      <c r="C52" s="13" t="inlineStr">
        <is>
          <t>Major adverse cardiac events ( unstructured )</t>
        </is>
      </c>
      <c r="D52" s="5" t="inlineStr">
        <is>
          <t>hf_final_clinical_assessment</t>
        </is>
      </c>
      <c r="E52" s="6" t="inlineStr">
        <is>
          <t>mace_other_details, hosp_note, stroke_note, bleed_note, arrhythmia_note</t>
        </is>
      </c>
      <c r="F52" s="7" t="inlineStr">
        <is>
          <t>NVARCHAR(MAX)</t>
        </is>
      </c>
      <c r="G52" s="7" t="inlineStr">
        <is>
          <t>Concatenated</t>
        </is>
      </c>
      <c r="H52" s="6" t="inlineStr">
        <is>
          <t>CONCAT_WS('; ', mace_other_details, hosp_note, stroke_note, bleed_note, arrhythmia_note)</t>
        </is>
      </c>
      <c r="I52" s="6" t="inlineStr">
        <is>
          <t>None</t>
        </is>
      </c>
      <c r="J52" s="5" t="inlineStr">
        <is>
          <t>Free-text narrative detailing adverse clinical outcomes</t>
        </is>
      </c>
    </row>
    <row r="53" ht="24" customHeight="1">
      <c r="A53" s="14" t="inlineStr">
        <is>
          <t>AY</t>
        </is>
      </c>
      <c r="B53" s="10" t="n">
        <v>51</v>
      </c>
      <c r="C53" s="12" t="inlineStr">
        <is>
          <t>Major procedures(if any specify)</t>
        </is>
      </c>
      <c r="D53" s="8" t="inlineStr">
        <is>
          <t>hf_final_clinical_assessment</t>
        </is>
      </c>
      <c r="E53" s="9" t="inlineStr">
        <is>
          <t>procedure_note, mace_major_procedure</t>
        </is>
      </c>
      <c r="F53" s="10" t="inlineStr">
        <is>
          <t>NVARCHAR(MAX)</t>
        </is>
      </c>
      <c r="G53" s="15" t="inlineStr">
        <is>
          <t>Direct DB</t>
        </is>
      </c>
      <c r="H53" s="9" t="inlineStr">
        <is>
          <t>hf_final_clinical_assessment.procedure_note</t>
        </is>
      </c>
      <c r="I53" s="9" t="inlineStr">
        <is>
          <t>None</t>
        </is>
      </c>
      <c r="J53" s="8" t="inlineStr">
        <is>
          <t>Invasive or surgical cardiac procedures performed during stay</t>
        </is>
      </c>
    </row>
    <row r="54" ht="24" customHeight="1">
      <c r="A54" s="16" t="inlineStr">
        <is>
          <t>AZ</t>
        </is>
      </c>
      <c r="B54" s="7" t="n">
        <v>52</v>
      </c>
      <c r="C54" s="13" t="inlineStr">
        <is>
          <t>Death</t>
        </is>
      </c>
      <c r="D54" s="5" t="inlineStr">
        <is>
          <t>hf_final_clinical_assessment</t>
        </is>
      </c>
      <c r="E54" s="6" t="inlineStr">
        <is>
          <t>mace_death</t>
        </is>
      </c>
      <c r="F54" s="7" t="inlineStr">
        <is>
          <t>VARCHAR(5)</t>
        </is>
      </c>
      <c r="G54" s="7" t="inlineStr">
        <is>
          <t>Derived</t>
        </is>
      </c>
      <c r="H54" s="6" t="inlineStr">
        <is>
          <t>CASE WHEN mace_death='Yes' OR death_date IS NOT NULL THEN 'YES' ELSE 'NO' END</t>
        </is>
      </c>
      <c r="I54" s="6" t="inlineStr">
        <is>
          <t>None</t>
        </is>
      </c>
      <c r="J54" s="5" t="inlineStr">
        <is>
          <t>All-cause in-hospital or 30-day mortality flag</t>
        </is>
      </c>
    </row>
    <row r="55" ht="24" customHeight="1">
      <c r="A55" s="14" t="inlineStr">
        <is>
          <t>BA</t>
        </is>
      </c>
      <c r="B55" s="10" t="n">
        <v>53</v>
      </c>
      <c r="C55" s="12" t="inlineStr">
        <is>
          <t>Death Date</t>
        </is>
      </c>
      <c r="D55" s="8" t="inlineStr">
        <is>
          <t>hf_final_clinical_assessment</t>
        </is>
      </c>
      <c r="E55" s="9" t="inlineStr">
        <is>
          <t>death_date</t>
        </is>
      </c>
      <c r="F55" s="10" t="inlineStr">
        <is>
          <t>DATE</t>
        </is>
      </c>
      <c r="G55" s="15" t="inlineStr">
        <is>
          <t>Direct DB</t>
        </is>
      </c>
      <c r="H55" s="9" t="inlineStr">
        <is>
          <t>hf_final_clinical_assessment.death_date</t>
        </is>
      </c>
      <c r="I55" s="9" t="inlineStr">
        <is>
          <t>None</t>
        </is>
      </c>
      <c r="J55" s="8" t="inlineStr">
        <is>
          <t>Certified date of death recorded in registry or HIS</t>
        </is>
      </c>
    </row>
    <row r="56" ht="24" customHeight="1">
      <c r="A56" s="16" t="inlineStr">
        <is>
          <t>BB</t>
        </is>
      </c>
      <c r="B56" s="7" t="n">
        <v>54</v>
      </c>
      <c r="C56" s="13" t="inlineStr">
        <is>
          <t>Location of Death</t>
        </is>
      </c>
      <c r="D56" s="5" t="inlineStr">
        <is>
          <t>hf_final_clinical_assessment</t>
        </is>
      </c>
      <c r="E56" s="6" t="inlineStr">
        <is>
          <t>death_hospital, death_home</t>
        </is>
      </c>
      <c r="F56" s="7" t="inlineStr">
        <is>
          <t>VARCHAR(30)</t>
        </is>
      </c>
      <c r="G56" s="7" t="inlineStr">
        <is>
          <t>Derived</t>
        </is>
      </c>
      <c r="H56" s="6" t="inlineStr">
        <is>
          <t>CASE WHEN death_hospital='Yes' THEN 'Hospital' WHEN death_home='Yes' THEN 'Home' ELSE 'Other' END</t>
        </is>
      </c>
      <c r="I56" s="6" t="inlineStr">
        <is>
          <t>None</t>
        </is>
      </c>
      <c r="J56" s="5" t="inlineStr">
        <is>
          <t>Physical location where patient expired</t>
        </is>
      </c>
    </row>
    <row r="57" ht="24" customHeight="1">
      <c r="A57" s="14" t="inlineStr">
        <is>
          <t>BC</t>
        </is>
      </c>
      <c r="B57" s="10" t="n">
        <v>55</v>
      </c>
      <c r="C57" s="12" t="inlineStr">
        <is>
          <t>ECG Q waves</t>
        </is>
      </c>
      <c r="D57" s="8" t="inlineStr">
        <is>
          <t>hf_cardiac_investigations</t>
        </is>
      </c>
      <c r="E57" s="9" t="inlineStr">
        <is>
          <t>ecg_qwaves_yes, ecg_qwaves_none</t>
        </is>
      </c>
      <c r="F57" s="10" t="inlineStr">
        <is>
          <t>VARCHAR(5)</t>
        </is>
      </c>
      <c r="G57" s="10" t="inlineStr">
        <is>
          <t>Derived</t>
        </is>
      </c>
      <c r="H57" s="9" t="inlineStr">
        <is>
          <t>CASE WHEN ecg_qwaves_yes='Yes' THEN 'yes' ELSE 'no' END</t>
        </is>
      </c>
      <c r="I57" s="9" t="inlineStr">
        <is>
          <t>None</t>
        </is>
      </c>
      <c r="J57" s="8" t="inlineStr">
        <is>
          <t>Pathological ECG Q-waves signifying previous transmural infarction</t>
        </is>
      </c>
    </row>
    <row r="58" ht="24" customHeight="1">
      <c r="A58" s="16" t="inlineStr">
        <is>
          <t>BD</t>
        </is>
      </c>
      <c r="B58" s="7" t="n">
        <v>56</v>
      </c>
      <c r="C58" s="13" t="inlineStr">
        <is>
          <t>Q waves Leads</t>
        </is>
      </c>
      <c r="D58" s="5" t="inlineStr">
        <is>
          <t>hf_cardiac_investigations</t>
        </is>
      </c>
      <c r="E58" s="6" t="inlineStr">
        <is>
          <t>ecg_qwave_leads</t>
        </is>
      </c>
      <c r="F58" s="7" t="inlineStr">
        <is>
          <t>VARCHAR(100)</t>
        </is>
      </c>
      <c r="G58" s="15" t="inlineStr">
        <is>
          <t>Direct DB</t>
        </is>
      </c>
      <c r="H58" s="6" t="inlineStr">
        <is>
          <t>hf_cardiac_investigations.ecg_qwave_leads</t>
        </is>
      </c>
      <c r="I58" s="6" t="inlineStr">
        <is>
          <t>None</t>
        </is>
      </c>
      <c r="J58" s="5" t="inlineStr">
        <is>
          <t>Specific anatomical ECG leads exhibiting pathological Q waves</t>
        </is>
      </c>
    </row>
    <row r="59" ht="24" customHeight="1">
      <c r="A59" s="14" t="inlineStr">
        <is>
          <t>BE</t>
        </is>
      </c>
      <c r="B59" s="10" t="n">
        <v>57</v>
      </c>
      <c r="C59" s="12" t="inlineStr">
        <is>
          <t>Any blockages</t>
        </is>
      </c>
      <c r="D59" s="8" t="inlineStr">
        <is>
          <t>hf_cardiac_investigations</t>
        </is>
      </c>
      <c r="E59" s="9" t="inlineStr">
        <is>
          <t>coronary_angiogram_done, single_vessel_disease, double_vessel_disease, triple_vessel_disease, left_main_disease</t>
        </is>
      </c>
      <c r="F59" s="10" t="inlineStr">
        <is>
          <t>VARCHAR(20)</t>
        </is>
      </c>
      <c r="G59" s="10" t="inlineStr">
        <is>
          <t>Derived</t>
        </is>
      </c>
      <c r="H59" s="9" t="inlineStr">
        <is>
          <t>CASE WHEN 'Yes' IN (single_vessel_disease, double_vessel_disease, triple_vessel_disease, left_main_disease) THEN 'Yes' ELSE 'No' END</t>
        </is>
      </c>
      <c r="I59" s="9" t="inlineStr">
        <is>
          <t>None</t>
        </is>
      </c>
      <c r="J59" s="8" t="inlineStr">
        <is>
          <t>Coronary angiographic documentation of epicardial stenosis</t>
        </is>
      </c>
    </row>
    <row r="60" ht="24" customHeight="1">
      <c r="A60" s="16" t="inlineStr">
        <is>
          <t>BF</t>
        </is>
      </c>
      <c r="B60" s="7" t="n">
        <v>58</v>
      </c>
      <c r="C60" s="13" t="inlineStr">
        <is>
          <t>QT</t>
        </is>
      </c>
      <c r="D60" s="5" t="inlineStr">
        <is>
          <t>hf_cardiac_investigations</t>
        </is>
      </c>
      <c r="E60" s="6" t="inlineStr">
        <is>
          <t>ecg_qt</t>
        </is>
      </c>
      <c r="F60" s="7" t="inlineStr">
        <is>
          <t>DECIMAL(6,2)</t>
        </is>
      </c>
      <c r="G60" s="15" t="inlineStr">
        <is>
          <t>Direct DB</t>
        </is>
      </c>
      <c r="H60" s="6" t="inlineStr">
        <is>
          <t>hf_cardiac_investigations.ecg_qt</t>
        </is>
      </c>
      <c r="I60" s="6" t="inlineStr">
        <is>
          <t>None</t>
        </is>
      </c>
      <c r="J60" s="5" t="inlineStr">
        <is>
          <t>Uncorrected electrical ventricular repolarization QT interval (ms)</t>
        </is>
      </c>
    </row>
    <row r="61" ht="24" customHeight="1">
      <c r="A61" s="14" t="inlineStr">
        <is>
          <t>BG</t>
        </is>
      </c>
      <c r="B61" s="10" t="n">
        <v>59</v>
      </c>
      <c r="C61" s="12" t="inlineStr">
        <is>
          <t>QTC</t>
        </is>
      </c>
      <c r="D61" s="8" t="inlineStr">
        <is>
          <t>hf_cardiac_investigations</t>
        </is>
      </c>
      <c r="E61" s="9" t="inlineStr">
        <is>
          <t>ecg_qtc</t>
        </is>
      </c>
      <c r="F61" s="10" t="inlineStr">
        <is>
          <t>DECIMAL(6,2)</t>
        </is>
      </c>
      <c r="G61" s="15" t="inlineStr">
        <is>
          <t>Direct DB</t>
        </is>
      </c>
      <c r="H61" s="9" t="inlineStr">
        <is>
          <t>hf_cardiac_investigations.ecg_qtc</t>
        </is>
      </c>
      <c r="I61" s="9" t="inlineStr">
        <is>
          <t>None</t>
        </is>
      </c>
      <c r="J61" s="8" t="inlineStr">
        <is>
          <t>Heart-rate corrected QT interval (Bazett/Fridericia formula) (ms)</t>
        </is>
      </c>
    </row>
    <row r="62" ht="24" customHeight="1">
      <c r="A62" s="16" t="inlineStr">
        <is>
          <t>BH</t>
        </is>
      </c>
      <c r="B62" s="7" t="n">
        <v>60</v>
      </c>
      <c r="C62" s="13" t="inlineStr">
        <is>
          <t>ECHO(RWMI)</t>
        </is>
      </c>
      <c r="D62" s="5" t="inlineStr">
        <is>
          <t>hf_cardiac_investigations</t>
        </is>
      </c>
      <c r="E62" s="6" t="inlineStr">
        <is>
          <t>rwmi_none, rwmi_global, rwmi_anterior, rwmi_lateral, rwmi_inferior</t>
        </is>
      </c>
      <c r="F62" s="7" t="inlineStr">
        <is>
          <t>VARCHAR(30)</t>
        </is>
      </c>
      <c r="G62" s="7" t="inlineStr">
        <is>
          <t>Derived</t>
        </is>
      </c>
      <c r="H62" s="6" t="inlineStr">
        <is>
          <t>CASE WHEN rwmi_global='Yes' THEN 'Global' WHEN rwmi_anterior='Yes' THEN 'Anterior' WHEN rwmi_inferior='Yes' THEN 'Inferior' WHEN rwmi_lateral='Yes' THEN 'Lateral' ELSE 'None' END</t>
        </is>
      </c>
      <c r="I62" s="6" t="inlineStr">
        <is>
          <t>None</t>
        </is>
      </c>
      <c r="J62" s="5" t="inlineStr">
        <is>
          <t>Echocardiographic regional wall motion abnormality distribution</t>
        </is>
      </c>
    </row>
    <row r="63" ht="24" customHeight="1">
      <c r="A63" s="14" t="inlineStr">
        <is>
          <t>BI</t>
        </is>
      </c>
      <c r="B63" s="10" t="n">
        <v>61</v>
      </c>
      <c r="C63" s="12" t="inlineStr">
        <is>
          <t>EF%</t>
        </is>
      </c>
      <c r="D63" s="8" t="inlineStr">
        <is>
          <t>hf_cardiac_investigations</t>
        </is>
      </c>
      <c r="E63" s="9" t="inlineStr">
        <is>
          <t>echo_ef</t>
        </is>
      </c>
      <c r="F63" s="10" t="inlineStr">
        <is>
          <t>DECIMAL(5,2)</t>
        </is>
      </c>
      <c r="G63" s="15" t="inlineStr">
        <is>
          <t>Direct DB</t>
        </is>
      </c>
      <c r="H63" s="9" t="inlineStr">
        <is>
          <t>hf_cardiac_investigations.echo_ef</t>
        </is>
      </c>
      <c r="I63" s="9" t="inlineStr">
        <is>
          <t>None</t>
        </is>
      </c>
      <c r="J63" s="8" t="inlineStr">
        <is>
          <t>Left ventricular ejection fraction percentage measured by 2D Echocardiography</t>
        </is>
      </c>
    </row>
    <row r="64" ht="24" customHeight="1">
      <c r="A64" s="16" t="inlineStr">
        <is>
          <t>BJ</t>
        </is>
      </c>
      <c r="B64" s="7" t="n">
        <v>62</v>
      </c>
      <c r="C64" s="13" t="inlineStr">
        <is>
          <t>Holter/Event Recorder</t>
        </is>
      </c>
      <c r="D64" s="5" t="inlineStr">
        <is>
          <t>hf_advanced_investigations</t>
        </is>
      </c>
      <c r="E64" s="6" t="inlineStr">
        <is>
          <t>holter_test_date, ventricular_arrhythmia_yes</t>
        </is>
      </c>
      <c r="F64" s="7" t="inlineStr">
        <is>
          <t>VARCHAR(5)</t>
        </is>
      </c>
      <c r="G64" s="7" t="inlineStr">
        <is>
          <t>Derived</t>
        </is>
      </c>
      <c r="H64" s="6" t="inlineStr">
        <is>
          <t>CASE WHEN holter_test_date IS NOT NULL OR ventricular_arrhythmia_yes='Yes' THEN 'YES' ELSE 'NO' END</t>
        </is>
      </c>
      <c r="I64" s="6" t="inlineStr">
        <is>
          <t>None</t>
        </is>
      </c>
      <c r="J64" s="5" t="inlineStr">
        <is>
          <t>Execution of 24/48-hour ambulatory continuous ECG telemetry</t>
        </is>
      </c>
    </row>
    <row r="65" ht="24" customHeight="1">
      <c r="A65" s="14" t="inlineStr">
        <is>
          <t>BK</t>
        </is>
      </c>
      <c r="B65" s="10" t="n">
        <v>63</v>
      </c>
      <c r="C65" s="12" t="inlineStr">
        <is>
          <t>Lab tests Potassium</t>
        </is>
      </c>
      <c r="D65" s="8" t="inlineStr">
        <is>
          <t>hf_lab_tests</t>
        </is>
      </c>
      <c r="E65" s="9" t="inlineStr">
        <is>
          <t>potassium_result</t>
        </is>
      </c>
      <c r="F65" s="10" t="inlineStr">
        <is>
          <t>DECIMAL(4,2)</t>
        </is>
      </c>
      <c r="G65" s="15" t="inlineStr">
        <is>
          <t>Direct DB</t>
        </is>
      </c>
      <c r="H65" s="9" t="inlineStr">
        <is>
          <t>TRY_CAST(hf_lab_tests.potassium_result AS DECIMAL(4,2))</t>
        </is>
      </c>
      <c r="I65" s="9" t="inlineStr">
        <is>
          <t>None</t>
        </is>
      </c>
      <c r="J65" s="8" t="inlineStr">
        <is>
          <t>Baseline serum potassium electrolyte level (mmol/L or mEq/L)</t>
        </is>
      </c>
    </row>
    <row r="66" ht="24" customHeight="1">
      <c r="A66" s="16" t="inlineStr">
        <is>
          <t>BL</t>
        </is>
      </c>
      <c r="B66" s="7" t="n">
        <v>64</v>
      </c>
      <c r="C66" s="13" t="inlineStr">
        <is>
          <t>Creatinine</t>
        </is>
      </c>
      <c r="D66" s="5" t="inlineStr">
        <is>
          <t>hf_lab_tests</t>
        </is>
      </c>
      <c r="E66" s="6" t="inlineStr">
        <is>
          <t>creatinine_result</t>
        </is>
      </c>
      <c r="F66" s="7" t="inlineStr">
        <is>
          <t>DECIMAL(4,2)</t>
        </is>
      </c>
      <c r="G66" s="15" t="inlineStr">
        <is>
          <t>Direct DB</t>
        </is>
      </c>
      <c r="H66" s="6" t="inlineStr">
        <is>
          <t>TRY_CAST(hf_lab_tests.creatinine_result AS DECIMAL(4,2))</t>
        </is>
      </c>
      <c r="I66" s="6" t="inlineStr">
        <is>
          <t>None</t>
        </is>
      </c>
      <c r="J66" s="5" t="inlineStr">
        <is>
          <t>Baseline serum creatinine renal function biomarker (mg/dL)</t>
        </is>
      </c>
    </row>
    <row r="67" ht="24" customHeight="1">
      <c r="A67" s="14" t="inlineStr">
        <is>
          <t>BM</t>
        </is>
      </c>
      <c r="B67" s="10" t="n">
        <v>65</v>
      </c>
      <c r="C67" s="12" t="inlineStr">
        <is>
          <t>Hb</t>
        </is>
      </c>
      <c r="D67" s="8" t="inlineStr">
        <is>
          <t>hf_lab_tests</t>
        </is>
      </c>
      <c r="E67" s="9" t="inlineStr">
        <is>
          <t>hb_result</t>
        </is>
      </c>
      <c r="F67" s="10" t="inlineStr">
        <is>
          <t>DECIMAL(4,1)</t>
        </is>
      </c>
      <c r="G67" s="15" t="inlineStr">
        <is>
          <t>Direct DB</t>
        </is>
      </c>
      <c r="H67" s="9" t="inlineStr">
        <is>
          <t>TRY_CAST(hf_lab_tests.hb_result AS DECIMAL(4,1))</t>
        </is>
      </c>
      <c r="I67" s="9" t="inlineStr">
        <is>
          <t>None</t>
        </is>
      </c>
      <c r="J67" s="8" t="inlineStr">
        <is>
          <t>Blood hemoglobin concentration (g/dL)</t>
        </is>
      </c>
    </row>
    <row r="68" ht="24" customHeight="1">
      <c r="A68" s="16" t="inlineStr">
        <is>
          <t>BN</t>
        </is>
      </c>
      <c r="B68" s="7" t="n">
        <v>66</v>
      </c>
      <c r="C68" s="13" t="inlineStr">
        <is>
          <t>BNP</t>
        </is>
      </c>
      <c r="D68" s="5" t="inlineStr">
        <is>
          <t>hf_lab_tests</t>
        </is>
      </c>
      <c r="E68" s="6" t="inlineStr">
        <is>
          <t>bnp_result</t>
        </is>
      </c>
      <c r="F68" s="7" t="inlineStr">
        <is>
          <t>DECIMAL(8,2)</t>
        </is>
      </c>
      <c r="G68" s="15" t="inlineStr">
        <is>
          <t>Direct DB</t>
        </is>
      </c>
      <c r="H68" s="6" t="inlineStr">
        <is>
          <t>TRY_CAST(hf_lab_tests.bnp_result AS DECIMAL(8,2))</t>
        </is>
      </c>
      <c r="I68" s="6" t="inlineStr">
        <is>
          <t>None</t>
        </is>
      </c>
      <c r="J68" s="5" t="inlineStr">
        <is>
          <t>B-type Natriuretic Peptide heart failure neurohormonal biomarker (pg/mL)</t>
        </is>
      </c>
    </row>
    <row r="69" ht="24" customHeight="1">
      <c r="A69" s="14" t="inlineStr">
        <is>
          <t>BO</t>
        </is>
      </c>
      <c r="B69" s="10" t="n">
        <v>67</v>
      </c>
      <c r="C69" s="12" t="inlineStr">
        <is>
          <t>Sodium</t>
        </is>
      </c>
      <c r="D69" s="8" t="inlineStr">
        <is>
          <t>hf_lab_tests</t>
        </is>
      </c>
      <c r="E69" s="9" t="inlineStr">
        <is>
          <t>sodium_result</t>
        </is>
      </c>
      <c r="F69" s="10" t="inlineStr">
        <is>
          <t>DECIMAL(5,1)</t>
        </is>
      </c>
      <c r="G69" s="15" t="inlineStr">
        <is>
          <t>Direct DB</t>
        </is>
      </c>
      <c r="H69" s="9" t="inlineStr">
        <is>
          <t>TRY_CAST(hf_lab_tests.sodium_result AS DECIMAL(5,1))</t>
        </is>
      </c>
      <c r="I69" s="9" t="inlineStr">
        <is>
          <t>None</t>
        </is>
      </c>
      <c r="J69" s="8" t="inlineStr">
        <is>
          <t>Serum sodium electrolyte level (mmol/L)</t>
        </is>
      </c>
    </row>
    <row r="70" ht="24" customHeight="1">
      <c r="A70" s="16" t="inlineStr">
        <is>
          <t>BP</t>
        </is>
      </c>
      <c r="B70" s="7" t="n">
        <v>68</v>
      </c>
      <c r="C70" s="13" t="inlineStr">
        <is>
          <t>Uric acid</t>
        </is>
      </c>
      <c r="D70" s="5" t="inlineStr">
        <is>
          <t>hf_lab_tests</t>
        </is>
      </c>
      <c r="E70" s="6" t="inlineStr">
        <is>
          <t>other_lab_test_name, other_lab_test_result</t>
        </is>
      </c>
      <c r="F70" s="7" t="inlineStr">
        <is>
          <t>DECIMAL(5,2)</t>
        </is>
      </c>
      <c r="G70" s="7" t="inlineStr">
        <is>
          <t>Derived</t>
        </is>
      </c>
      <c r="H70" s="6" t="inlineStr">
        <is>
          <t>CASE WHEN other_lab_test_name LIKE '%uric%' THEN TRY_CAST(other_lab_test_result AS DECIMAL(5,2)) END</t>
        </is>
      </c>
      <c r="I70" s="6" t="inlineStr">
        <is>
          <t>None</t>
        </is>
      </c>
      <c r="J70" s="5" t="inlineStr">
        <is>
          <t>Serum uric acid level for hyperuricemia / gout monitoring (mg/dL)</t>
        </is>
      </c>
    </row>
    <row r="71" ht="24" customHeight="1">
      <c r="A71" s="14" t="inlineStr">
        <is>
          <t>BQ</t>
        </is>
      </c>
      <c r="B71" s="10" t="n">
        <v>69</v>
      </c>
      <c r="C71" s="12" t="inlineStr">
        <is>
          <t>Total Cholesterol</t>
        </is>
      </c>
      <c r="D71" s="8" t="inlineStr">
        <is>
          <t>hf_lab_tests</t>
        </is>
      </c>
      <c r="E71" s="9" t="inlineStr">
        <is>
          <t>ldl_result, other_lab_test_result</t>
        </is>
      </c>
      <c r="F71" s="10" t="inlineStr">
        <is>
          <t>DECIMAL(6,2)</t>
        </is>
      </c>
      <c r="G71" s="10" t="inlineStr">
        <is>
          <t>Derived</t>
        </is>
      </c>
      <c r="H71" s="9" t="inlineStr">
        <is>
          <t>CASE WHEN other_lab_test_name LIKE '%cholesterol%' THEN TRY_CAST(other_lab_test_result AS DECIMAL(6,2)) END</t>
        </is>
      </c>
      <c r="I71" s="9" t="inlineStr">
        <is>
          <t>None</t>
        </is>
      </c>
      <c r="J71" s="8" t="inlineStr">
        <is>
          <t>Lipid profile total serum cholesterol level (mg/dL)</t>
        </is>
      </c>
    </row>
    <row r="72" ht="24" customHeight="1">
      <c r="A72" s="16" t="inlineStr">
        <is>
          <t>BR</t>
        </is>
      </c>
      <c r="B72" s="7" t="n">
        <v>70</v>
      </c>
      <c r="C72" s="13" t="inlineStr">
        <is>
          <t>NT-proBNP</t>
        </is>
      </c>
      <c r="D72" s="5" t="inlineStr">
        <is>
          <t>hf_lab_tests</t>
        </is>
      </c>
      <c r="E72" s="6" t="inlineStr">
        <is>
          <t>nt_pro_bnp_result</t>
        </is>
      </c>
      <c r="F72" s="7" t="inlineStr">
        <is>
          <t>DECIMAL(8,2)</t>
        </is>
      </c>
      <c r="G72" s="15" t="inlineStr">
        <is>
          <t>Direct DB</t>
        </is>
      </c>
      <c r="H72" s="6" t="inlineStr">
        <is>
          <t>TRY_CAST(hf_lab_tests.nt_pro_bnp_result AS DECIMAL(8,2))</t>
        </is>
      </c>
      <c r="I72" s="6" t="inlineStr">
        <is>
          <t>None</t>
        </is>
      </c>
      <c r="J72" s="5" t="inlineStr">
        <is>
          <t>N-terminal pro b-type natriuretic peptide level (pg/mL)</t>
        </is>
      </c>
    </row>
    <row r="73" ht="24" customHeight="1">
      <c r="A73" s="14" t="inlineStr">
        <is>
          <t>BS</t>
        </is>
      </c>
      <c r="B73" s="10" t="n">
        <v>71</v>
      </c>
      <c r="C73" s="12" t="inlineStr">
        <is>
          <t>Current device therapy</t>
        </is>
      </c>
      <c r="D73" s="8" t="inlineStr">
        <is>
          <t>hf_device_therapy</t>
        </is>
      </c>
      <c r="E73" s="9" t="inlineStr">
        <is>
          <t>current_device_yes, current_crt_p, current_crt_d, current_icd_sc, current_icd_dc</t>
        </is>
      </c>
      <c r="F73" s="10" t="inlineStr">
        <is>
          <t>VARCHAR(50)</t>
        </is>
      </c>
      <c r="G73" s="10" t="inlineStr">
        <is>
          <t>Derived</t>
        </is>
      </c>
      <c r="H73" s="9" t="inlineStr">
        <is>
          <t>CASE WHEN current_crt_d='Yes' THEN 'CRT-D' WHEN current_crt_p='Yes' THEN 'CRT-P' WHEN current_icd_dc='Yes' OR current_icd_sc='Yes' THEN 'ICD' WHEN current_device_yes='Yes' THEN 'Device Present' ELSE 'None' END</t>
        </is>
      </c>
      <c r="I73" s="9" t="inlineStr">
        <is>
          <t>None</t>
        </is>
      </c>
      <c r="J73" s="8" t="inlineStr">
        <is>
          <t>Active implantable electrophysiological device therapy</t>
        </is>
      </c>
    </row>
    <row r="74" ht="24" customHeight="1">
      <c r="A74" s="16" t="inlineStr">
        <is>
          <t>BT</t>
        </is>
      </c>
      <c r="B74" s="7" t="n">
        <v>72</v>
      </c>
      <c r="C74" s="13" t="inlineStr">
        <is>
          <t>Drugs</t>
        </is>
      </c>
      <c r="D74" s="5" t="inlineStr">
        <is>
          <t>hf_medical_therapy_part1/2/3</t>
        </is>
      </c>
      <c r="E74" s="6" t="inlineStr">
        <is>
          <t>All prescribed medication fields</t>
        </is>
      </c>
      <c r="F74" s="7" t="inlineStr">
        <is>
          <t>NVARCHAR(MAX)</t>
        </is>
      </c>
      <c r="G74" s="7" t="inlineStr">
        <is>
          <t>Concatenated</t>
        </is>
      </c>
      <c r="H74" s="6" t="inlineStr">
        <is>
          <t>Concatenation of active brand/trade prescriptions across medical therapy parts</t>
        </is>
      </c>
      <c r="I74" s="6" t="inlineStr">
        <is>
          <t>None</t>
        </is>
      </c>
      <c r="J74" s="5" t="inlineStr">
        <is>
          <t>Raw brand-name medication prescription text recorded at visit</t>
        </is>
      </c>
    </row>
    <row r="75" ht="24" customHeight="1">
      <c r="A75" s="14" t="inlineStr">
        <is>
          <t>BU</t>
        </is>
      </c>
      <c r="B75" s="10" t="n">
        <v>73</v>
      </c>
      <c r="C75" s="12" t="inlineStr">
        <is>
          <t>Generic Names</t>
        </is>
      </c>
      <c r="D75" s="8" t="inlineStr">
        <is>
          <t>hf_medical_therapy_part1/2/3, hf_followup_records</t>
        </is>
      </c>
      <c r="E75" s="9" t="inlineStr">
        <is>
          <t>Active molecule names</t>
        </is>
      </c>
      <c r="F75" s="10" t="inlineStr">
        <is>
          <t>NVARCHAR(MAX)</t>
        </is>
      </c>
      <c r="G75" s="10" t="inlineStr">
        <is>
          <t>Normalized</t>
        </is>
      </c>
      <c r="H75" s="9" t="inlineStr">
        <is>
          <t>Standardized generic active ingredients mapped via normalization engine</t>
        </is>
      </c>
      <c r="I75" s="9" t="inlineStr">
        <is>
          <t>None</t>
        </is>
      </c>
      <c r="J75" s="8" t="inlineStr">
        <is>
          <t>Parsed chemical molecular compound names (e.g. Spironolactone, Metoprolol)</t>
        </is>
      </c>
    </row>
    <row r="76" ht="24" customHeight="1">
      <c r="A76" s="16" t="inlineStr">
        <is>
          <t>BV</t>
        </is>
      </c>
      <c r="B76" s="7" t="n">
        <v>74</v>
      </c>
      <c r="C76" s="13" t="inlineStr">
        <is>
          <t>Drug Category</t>
        </is>
      </c>
      <c r="D76" s="5" t="inlineStr">
        <is>
          <t>Derived from BU</t>
        </is>
      </c>
      <c r="E76" s="6" t="inlineStr">
        <is>
          <t>Therapeutic classes</t>
        </is>
      </c>
      <c r="F76" s="7" t="inlineStr">
        <is>
          <t>NVARCHAR(MAX)</t>
        </is>
      </c>
      <c r="G76" s="7" t="inlineStr">
        <is>
          <t>Categorized</t>
        </is>
      </c>
      <c r="H76" s="6" t="inlineStr">
        <is>
          <t>Mapped therapeutic classes (e.g. Beta Blocker, Statin, Diuretic, MRA, ARNI)</t>
        </is>
      </c>
      <c r="I76" s="6" t="inlineStr">
        <is>
          <t>None</t>
        </is>
      </c>
      <c r="J76" s="5" t="inlineStr">
        <is>
          <t>Pharmacological classification groups for prescribed regimen</t>
        </is>
      </c>
    </row>
    <row r="77" ht="24" customHeight="1">
      <c r="A77" s="14" t="inlineStr">
        <is>
          <t>BW</t>
        </is>
      </c>
      <c r="B77" s="10" t="n">
        <v>75</v>
      </c>
      <c r="C77" s="12" t="inlineStr">
        <is>
          <t>Beta blocker</t>
        </is>
      </c>
      <c r="D77" s="8" t="inlineStr">
        <is>
          <t>hf_medical_therapy_part1</t>
        </is>
      </c>
      <c r="E77" s="9" t="inlineStr">
        <is>
          <t>carvedilol, bisoprolol, metoprolol_succinate, nebivolol, beta_blocker_other</t>
        </is>
      </c>
      <c r="F77" s="10" t="inlineStr">
        <is>
          <t>BIT (0/1)</t>
        </is>
      </c>
      <c r="G77" s="17" t="inlineStr">
        <is>
          <t>Calculated</t>
        </is>
      </c>
      <c r="H77" s="9" t="inlineStr">
        <is>
          <t>CASE WHEN 'Yes' IN (carvedilol, bisoprolol, metoprolol_succinate, nebivolol, beta_blocker_other) THEN 1 ELSE 0 END</t>
        </is>
      </c>
      <c r="I77" s="9" t="inlineStr">
        <is>
          <t>None</t>
        </is>
      </c>
      <c r="J77" s="8" t="inlineStr">
        <is>
          <t>Guideline-Directed Medical Therapy Pillar 1: Evidence-based Beta Blocker prescribed</t>
        </is>
      </c>
    </row>
    <row r="78" ht="24" customHeight="1">
      <c r="A78" s="16" t="inlineStr">
        <is>
          <t>BX</t>
        </is>
      </c>
      <c r="B78" s="7" t="n">
        <v>76</v>
      </c>
      <c r="C78" s="13" t="inlineStr">
        <is>
          <t>ACE inhibitor</t>
        </is>
      </c>
      <c r="D78" s="5" t="inlineStr">
        <is>
          <t>hf_medical_therapy_part1</t>
        </is>
      </c>
      <c r="E78" s="6" t="inlineStr">
        <is>
          <t>enalapril, ramipril, lisinopril, perindopril, ace_other</t>
        </is>
      </c>
      <c r="F78" s="7" t="inlineStr">
        <is>
          <t>BIT (0/1)</t>
        </is>
      </c>
      <c r="G78" s="17" t="inlineStr">
        <is>
          <t>Calculated</t>
        </is>
      </c>
      <c r="H78" s="6" t="inlineStr">
        <is>
          <t>CASE WHEN 'Yes' IN (enalapril, ramipril, lisinopril, perindopril, ace_other) THEN 1 ELSE 0 END</t>
        </is>
      </c>
      <c r="I78" s="6" t="inlineStr">
        <is>
          <t>None</t>
        </is>
      </c>
      <c r="J78" s="5" t="inlineStr">
        <is>
          <t>Guideline-Directed Medical Therapy Pillar 2A: ACE Inhibitor prescribed</t>
        </is>
      </c>
    </row>
    <row r="79" ht="24" customHeight="1">
      <c r="A79" s="14" t="inlineStr">
        <is>
          <t>BY</t>
        </is>
      </c>
      <c r="B79" s="10" t="n">
        <v>77</v>
      </c>
      <c r="C79" s="12" t="inlineStr">
        <is>
          <t>ARB</t>
        </is>
      </c>
      <c r="D79" s="8" t="inlineStr">
        <is>
          <t>hf_medical_therapy_part1</t>
        </is>
      </c>
      <c r="E79" s="9" t="inlineStr">
        <is>
          <t>valsartan, losartan, telmisartan, olmesartan, arb_other</t>
        </is>
      </c>
      <c r="F79" s="10" t="inlineStr">
        <is>
          <t>BIT (0/1)</t>
        </is>
      </c>
      <c r="G79" s="17" t="inlineStr">
        <is>
          <t>Calculated</t>
        </is>
      </c>
      <c r="H79" s="9" t="inlineStr">
        <is>
          <t>CASE WHEN 'Yes' IN (valsartan, losartan, telmisartan, olmesartan, arb_other) THEN 1 ELSE 0 END</t>
        </is>
      </c>
      <c r="I79" s="9" t="inlineStr">
        <is>
          <t>None</t>
        </is>
      </c>
      <c r="J79" s="8" t="inlineStr">
        <is>
          <t>Guideline-Directed Medical Therapy Pillar 2B: Angiotensin Receptor Blocker prescribed</t>
        </is>
      </c>
    </row>
    <row r="80" ht="24" customHeight="1">
      <c r="A80" s="16" t="inlineStr">
        <is>
          <t>BZ</t>
        </is>
      </c>
      <c r="B80" s="7" t="n">
        <v>78</v>
      </c>
      <c r="C80" s="13" t="inlineStr">
        <is>
          <t>ARNI</t>
        </is>
      </c>
      <c r="D80" s="5" t="inlineStr">
        <is>
          <t>hf_followup_records, hf_medical_therapy_part3</t>
        </is>
      </c>
      <c r="E80" s="6" t="inlineStr">
        <is>
          <t>arni_sacubitril_valsartan_taking, other_medication_1_name</t>
        </is>
      </c>
      <c r="F80" s="7" t="inlineStr">
        <is>
          <t>BIT (0/1)</t>
        </is>
      </c>
      <c r="G80" s="17" t="inlineStr">
        <is>
          <t>Calculated</t>
        </is>
      </c>
      <c r="H80" s="6" t="inlineStr">
        <is>
          <t>CASE WHEN arni_sacubitril_valsartan_taking='Yes' OR other_medication_1_name LIKE '%sacubitril%' THEN 1 ELSE 0 END</t>
        </is>
      </c>
      <c r="I80" s="6" t="inlineStr">
        <is>
          <t>None</t>
        </is>
      </c>
      <c r="J80" s="5" t="inlineStr">
        <is>
          <t>Guideline-Directed Medical Therapy Pillar 2C: Angiotensin Receptor-Neprilysin Inhibitor</t>
        </is>
      </c>
    </row>
    <row r="81" ht="24" customHeight="1">
      <c r="A81" s="14" t="inlineStr">
        <is>
          <t>CA</t>
        </is>
      </c>
      <c r="B81" s="10" t="n">
        <v>79</v>
      </c>
      <c r="C81" s="12" t="inlineStr">
        <is>
          <t>MRA</t>
        </is>
      </c>
      <c r="D81" s="8" t="inlineStr">
        <is>
          <t>hf_medical_therapy_part1</t>
        </is>
      </c>
      <c r="E81" s="9" t="inlineStr">
        <is>
          <t>spironolactone, eplerenone</t>
        </is>
      </c>
      <c r="F81" s="10" t="inlineStr">
        <is>
          <t>BIT (0/1)</t>
        </is>
      </c>
      <c r="G81" s="17" t="inlineStr">
        <is>
          <t>Calculated</t>
        </is>
      </c>
      <c r="H81" s="9" t="inlineStr">
        <is>
          <t>CASE WHEN 'Yes' IN (spironolactone, eplerenone) THEN 1 ELSE 0 END</t>
        </is>
      </c>
      <c r="I81" s="9" t="inlineStr">
        <is>
          <t>None</t>
        </is>
      </c>
      <c r="J81" s="8" t="inlineStr">
        <is>
          <t>Guideline-Directed Medical Therapy Pillar 3: Mineralocorticoid Receptor Antagonist</t>
        </is>
      </c>
    </row>
    <row r="82" ht="24" customHeight="1">
      <c r="A82" s="16" t="inlineStr">
        <is>
          <t>CB</t>
        </is>
      </c>
      <c r="B82" s="7" t="n">
        <v>80</v>
      </c>
      <c r="C82" s="13" t="inlineStr">
        <is>
          <t>SGLT2 inhibitor</t>
        </is>
      </c>
      <c r="D82" s="5" t="inlineStr">
        <is>
          <t>hf_followup_records, hf_medical_therapy_part3</t>
        </is>
      </c>
      <c r="E82" s="6" t="inlineStr">
        <is>
          <t>sglt2_dapagliflozin_taking, other_medication_2_name</t>
        </is>
      </c>
      <c r="F82" s="7" t="inlineStr">
        <is>
          <t>BIT (0/1)</t>
        </is>
      </c>
      <c r="G82" s="17" t="inlineStr">
        <is>
          <t>Calculated</t>
        </is>
      </c>
      <c r="H82" s="6" t="inlineStr">
        <is>
          <t>CASE WHEN sglt2_dapagliflozin_taking='Yes' OR other_medication_2_name LIKE '%dapagliflozin%' THEN 1 ELSE 0 END</t>
        </is>
      </c>
      <c r="I82" s="6" t="inlineStr">
        <is>
          <t>None</t>
        </is>
      </c>
      <c r="J82" s="5" t="inlineStr">
        <is>
          <t>Guideline-Directed Medical Therapy Pillar 4: Sodium-Glucose Cotransporter-2 Inhibitor</t>
        </is>
      </c>
    </row>
    <row r="83" ht="24" customHeight="1">
      <c r="A83" s="14" t="inlineStr">
        <is>
          <t>CC</t>
        </is>
      </c>
      <c r="B83" s="10" t="n">
        <v>81</v>
      </c>
      <c r="C83" s="12" t="inlineStr">
        <is>
          <t>Number of GDMT Drugs Taken</t>
        </is>
      </c>
      <c r="D83" s="8" t="inlineStr">
        <is>
          <t>Sheet1 / Calculated</t>
        </is>
      </c>
      <c r="E83" s="9" t="inlineStr">
        <is>
          <t>BW + BX + BY + BZ + CA + CB</t>
        </is>
      </c>
      <c r="F83" s="10" t="inlineStr">
        <is>
          <t>INT (0-6)</t>
        </is>
      </c>
      <c r="G83" s="17" t="inlineStr">
        <is>
          <t>Calculated</t>
        </is>
      </c>
      <c r="H83" s="9" t="inlineStr">
        <is>
          <t>BW + BX + BY + BZ + CA + CB</t>
        </is>
      </c>
      <c r="I83" s="9">
        <f>SUM(BW2:CB2)</f>
        <v/>
      </c>
      <c r="J83" s="8" t="inlineStr">
        <is>
          <t>Total count of the 6 evaluated GDMT classes currently prescribed to the patient</t>
        </is>
      </c>
    </row>
    <row r="84" ht="24" customHeight="1">
      <c r="A84" s="16" t="inlineStr">
        <is>
          <t>CD</t>
        </is>
      </c>
      <c r="B84" s="7" t="n">
        <v>82</v>
      </c>
      <c r="C84" s="13" t="inlineStr">
        <is>
          <t>Known Contraindication for Beta blocker</t>
        </is>
      </c>
      <c r="D84" s="5" t="inlineStr">
        <is>
          <t>CI Flags</t>
        </is>
      </c>
      <c r="E84" s="6" t="inlineStr">
        <is>
          <t>Bradycardia, SBP &lt; BB threshold, Shock/inotropes, Asthma/COPD, AV block</t>
        </is>
      </c>
      <c r="F84" s="7" t="inlineStr">
        <is>
          <t>BIT (0/1)</t>
        </is>
      </c>
      <c r="G84" s="17" t="inlineStr">
        <is>
          <t>Engine Flag</t>
        </is>
      </c>
      <c r="H84" s="6" t="inlineStr">
        <is>
          <t>MAX(CI_Flags.Bradycardia, CI_Flags.SBP_BB, CI_Flags.Shock, CI_Flags.Asthma, CI_Flags.AV_block)</t>
        </is>
      </c>
      <c r="I84" s="6">
        <f>IF(OR('CI Flags'!H2=1, 'CI Flags'!I2=1, 'CI Flags'!K2=1, 'CI Flags'!L2=1, 'CI Flags'!P2=1), 1, 0)</f>
        <v/>
      </c>
      <c r="J84" s="5" t="inlineStr">
        <is>
          <t>Documented safety contraindication barrier precluding safe Beta Blocker therapy</t>
        </is>
      </c>
    </row>
    <row r="85" ht="24" customHeight="1">
      <c r="A85" s="14" t="inlineStr">
        <is>
          <t>CE</t>
        </is>
      </c>
      <c r="B85" s="10" t="n">
        <v>83</v>
      </c>
      <c r="C85" s="12" t="inlineStr">
        <is>
          <t>Known Contraindication for ACE inhibitor</t>
        </is>
      </c>
      <c r="D85" s="8" t="inlineStr">
        <is>
          <t>CI Flags</t>
        </is>
      </c>
      <c r="E85" s="9" t="inlineStr">
        <is>
          <t>SBP &lt; threshold, Hyperkalaemia, Renal impairment</t>
        </is>
      </c>
      <c r="F85" s="10" t="inlineStr">
        <is>
          <t>BIT (0/1)</t>
        </is>
      </c>
      <c r="G85" s="17" t="inlineStr">
        <is>
          <t>Engine Flag</t>
        </is>
      </c>
      <c r="H85" s="9" t="inlineStr">
        <is>
          <t>MAX(CI_Flags.SBP_BB, CI_Flags.Hyperkal_ACE, CI_Flags.Renal_impairment)</t>
        </is>
      </c>
      <c r="I85" s="9">
        <f>IF(OR('CI Flags'!I2=1, 'CI Flags'!M2=1, 'CI Flags'!O2=1), 1, 0)</f>
        <v/>
      </c>
      <c r="J85" s="8" t="inlineStr">
        <is>
          <t>Documented safety contraindication barrier precluding safe ACE Inhibitor therapy</t>
        </is>
      </c>
    </row>
    <row r="86" ht="24" customHeight="1">
      <c r="A86" s="16" t="inlineStr">
        <is>
          <t>CF</t>
        </is>
      </c>
      <c r="B86" s="7" t="n">
        <v>84</v>
      </c>
      <c r="C86" s="13" t="inlineStr">
        <is>
          <t>Known Contraindication for ARB</t>
        </is>
      </c>
      <c r="D86" s="5" t="inlineStr">
        <is>
          <t>CI Flags</t>
        </is>
      </c>
      <c r="E86" s="6" t="inlineStr">
        <is>
          <t>SBP &lt; threshold, Hyperkalaemia, Renal impairment</t>
        </is>
      </c>
      <c r="F86" s="7" t="inlineStr">
        <is>
          <t>BIT (0/1)</t>
        </is>
      </c>
      <c r="G86" s="17" t="inlineStr">
        <is>
          <t>Engine Flag</t>
        </is>
      </c>
      <c r="H86" s="6" t="inlineStr">
        <is>
          <t>MAX(CI_Flags.SBP_BB, CI_Flags.Hyperkal_ACE, CI_Flags.Renal_impairment)</t>
        </is>
      </c>
      <c r="I86" s="6">
        <f>IF(OR('CI Flags'!I2=1, 'CI Flags'!M2=1, 'CI Flags'!O2=1), 1, 0)</f>
        <v/>
      </c>
      <c r="J86" s="5" t="inlineStr">
        <is>
          <t>Documented safety contraindication barrier precluding safe ARB therapy</t>
        </is>
      </c>
    </row>
    <row r="87" ht="24" customHeight="1">
      <c r="A87" s="14" t="inlineStr">
        <is>
          <t>CG</t>
        </is>
      </c>
      <c r="B87" s="10" t="n">
        <v>85</v>
      </c>
      <c r="C87" s="12" t="inlineStr">
        <is>
          <t>Known Contraindication for ARNI</t>
        </is>
      </c>
      <c r="D87" s="8" t="inlineStr">
        <is>
          <t>CI Flags</t>
        </is>
      </c>
      <c r="E87" s="9" t="inlineStr">
        <is>
          <t>SBP &lt; ARNI threshold, Hyperkalaemia, Renal impairment</t>
        </is>
      </c>
      <c r="F87" s="10" t="inlineStr">
        <is>
          <t>BIT (0/1)</t>
        </is>
      </c>
      <c r="G87" s="17" t="inlineStr">
        <is>
          <t>Engine Flag</t>
        </is>
      </c>
      <c r="H87" s="9" t="inlineStr">
        <is>
          <t>MAX(CI_Flags.SBP_ARNI, CI_Flags.Hyperkal_ACE, CI_Flags.Renal_impairment)</t>
        </is>
      </c>
      <c r="I87" s="9">
        <f>IF(OR('CI Flags'!J2=1, 'CI Flags'!M2=1, 'CI Flags'!O2=1), 1, 0)</f>
        <v/>
      </c>
      <c r="J87" s="8" t="inlineStr">
        <is>
          <t>Documented safety contraindication barrier precluding safe ARNI therapy (stricter SBP &gt;= 100)</t>
        </is>
      </c>
    </row>
    <row r="88" ht="24" customHeight="1">
      <c r="A88" s="16" t="inlineStr">
        <is>
          <t>CH</t>
        </is>
      </c>
      <c r="B88" s="7" t="n">
        <v>86</v>
      </c>
      <c r="C88" s="13" t="inlineStr">
        <is>
          <t>Known Contraindication for MRA</t>
        </is>
      </c>
      <c r="D88" s="5" t="inlineStr">
        <is>
          <t>CI Flags</t>
        </is>
      </c>
      <c r="E88" s="6" t="inlineStr">
        <is>
          <t>Hyperkalaemia (MRA), Renal impairment</t>
        </is>
      </c>
      <c r="F88" s="7" t="inlineStr">
        <is>
          <t>BIT (0/1)</t>
        </is>
      </c>
      <c r="G88" s="17" t="inlineStr">
        <is>
          <t>Engine Flag</t>
        </is>
      </c>
      <c r="H88" s="6" t="inlineStr">
        <is>
          <t>MAX(CI_Flags.Hyperkal_MRA, CI_Flags.Renal_impairment)</t>
        </is>
      </c>
      <c r="I88" s="6">
        <f>IF(OR('CI Flags'!N2=1, 'CI Flags'!O2=1), 1, 0)</f>
        <v/>
      </c>
      <c r="J88" s="5" t="inlineStr">
        <is>
          <t>Documented safety contraindication barrier precluding safe MRA therapy (K &gt; 5.0, Cr &gt; 2.5)</t>
        </is>
      </c>
    </row>
    <row r="89" ht="24" customHeight="1">
      <c r="A89" s="14" t="inlineStr">
        <is>
          <t>CI</t>
        </is>
      </c>
      <c r="B89" s="10" t="n">
        <v>87</v>
      </c>
      <c r="C89" s="12" t="inlineStr">
        <is>
          <t>Known Contraindication for SGLT2 inhibitor</t>
        </is>
      </c>
      <c r="D89" s="8" t="inlineStr">
        <is>
          <t>CI Flags</t>
        </is>
      </c>
      <c r="E89" s="9" t="inlineStr">
        <is>
          <t>Severe renal (SGLT2), DKA, UTI/urosepsis</t>
        </is>
      </c>
      <c r="F89" s="10" t="inlineStr">
        <is>
          <t>BIT (0/1)</t>
        </is>
      </c>
      <c r="G89" s="17" t="inlineStr">
        <is>
          <t>Engine Flag</t>
        </is>
      </c>
      <c r="H89" s="9" t="inlineStr">
        <is>
          <t>MAX(CI_Flags.Severe_renal_SGLT2, CI_Flags.DKA, CI_Flags.UTI)</t>
        </is>
      </c>
      <c r="I89" s="9">
        <f>IF(OR('CI Flags'!Q2=1, 'CI Flags'!R2=1, 'CI Flags'!S2=1), 1, 0)</f>
        <v/>
      </c>
      <c r="J89" s="8" t="inlineStr">
        <is>
          <t>Documented safety contraindication barrier precluding safe SGLT2i therapy (Cr &gt; 3.0, DKA, Urosepsis)</t>
        </is>
      </c>
    </row>
    <row r="90" ht="24" customHeight="1">
      <c r="A90" s="16" t="inlineStr">
        <is>
          <t>CJ</t>
        </is>
      </c>
      <c r="B90" s="7" t="n">
        <v>88</v>
      </c>
      <c r="C90" s="13" t="inlineStr">
        <is>
          <t>Deviation for Beta blocker2</t>
        </is>
      </c>
      <c r="D90" s="5" t="inlineStr">
        <is>
          <t>Sheet1 / Evaluated</t>
        </is>
      </c>
      <c r="E90" s="6" t="inlineStr">
        <is>
          <t>BW (Prescribed), CD (Contraindication)</t>
        </is>
      </c>
      <c r="F90" s="7" t="inlineStr">
        <is>
          <t>BIT (0/1)</t>
        </is>
      </c>
      <c r="G90" s="17" t="inlineStr">
        <is>
          <t>Evaluated</t>
        </is>
      </c>
      <c r="H90" s="6" t="inlineStr">
        <is>
          <t>CASE WHEN (BW=1 AND CD=1) OR (BW=0 AND CD=0) THEN 1 ELSE 0 END</t>
        </is>
      </c>
      <c r="I90" s="6">
        <f>IF(OR(AND(BW2=1, CD2=1), AND(BW2=0, CD2=0)), 1, 0)</f>
        <v/>
      </c>
      <c r="J90" s="5" t="inlineStr">
        <is>
          <t>Clinical deviation indicator: Prescribed despite CI (Risk) OR Withheld without CI (Under-treatment)</t>
        </is>
      </c>
    </row>
    <row r="91" ht="24" customHeight="1">
      <c r="A91" s="14" t="inlineStr">
        <is>
          <t>CK</t>
        </is>
      </c>
      <c r="B91" s="10" t="n">
        <v>89</v>
      </c>
      <c r="C91" s="12" t="inlineStr">
        <is>
          <t>Deviation for ACE inhibitor3</t>
        </is>
      </c>
      <c r="D91" s="8" t="inlineStr">
        <is>
          <t>Sheet1 / Evaluated</t>
        </is>
      </c>
      <c r="E91" s="9" t="inlineStr">
        <is>
          <t>BX (Prescribed), CE (Contraindication)</t>
        </is>
      </c>
      <c r="F91" s="10" t="inlineStr">
        <is>
          <t>BIT (0/1)</t>
        </is>
      </c>
      <c r="G91" s="17" t="inlineStr">
        <is>
          <t>Evaluated</t>
        </is>
      </c>
      <c r="H91" s="9" t="inlineStr">
        <is>
          <t>CASE WHEN (BX=1 AND CE=1) OR (BX=0 AND CE=0) THEN 1 ELSE 0 END</t>
        </is>
      </c>
      <c r="I91" s="9">
        <f>IF(OR(AND(BX2=1, CE2=1), AND(BX2=0, CE2=0)), 1, 0)</f>
        <v/>
      </c>
      <c r="J91" s="8" t="inlineStr">
        <is>
          <t>Clinical deviation indicator for ACE Inhibitor therapy</t>
        </is>
      </c>
    </row>
    <row r="92" ht="24" customHeight="1">
      <c r="A92" s="16" t="inlineStr">
        <is>
          <t>CL</t>
        </is>
      </c>
      <c r="B92" s="7" t="n">
        <v>90</v>
      </c>
      <c r="C92" s="13" t="inlineStr">
        <is>
          <t>Deviation for ARB4</t>
        </is>
      </c>
      <c r="D92" s="5" t="inlineStr">
        <is>
          <t>Sheet1 / Evaluated</t>
        </is>
      </c>
      <c r="E92" s="6" t="inlineStr">
        <is>
          <t>BY (Prescribed), CF (Contraindication)</t>
        </is>
      </c>
      <c r="F92" s="7" t="inlineStr">
        <is>
          <t>BIT (0/1)</t>
        </is>
      </c>
      <c r="G92" s="17" t="inlineStr">
        <is>
          <t>Evaluated</t>
        </is>
      </c>
      <c r="H92" s="6" t="inlineStr">
        <is>
          <t>CASE WHEN (BY=1 AND CF=1) OR (BY=0 AND CF=0) THEN 1 ELSE 0 END</t>
        </is>
      </c>
      <c r="I92" s="6">
        <f>IF(OR(AND(BY2=1, CF2=1), AND(BY2=0, CF2=0)), 1, 0)</f>
        <v/>
      </c>
      <c r="J92" s="5" t="inlineStr">
        <is>
          <t>Clinical deviation indicator for Angiotensin Receptor Blocker therapy</t>
        </is>
      </c>
    </row>
    <row r="93" ht="24" customHeight="1">
      <c r="A93" s="14" t="inlineStr">
        <is>
          <t>CM</t>
        </is>
      </c>
      <c r="B93" s="10" t="n">
        <v>91</v>
      </c>
      <c r="C93" s="12" t="inlineStr">
        <is>
          <t>Deviation for ARNI5</t>
        </is>
      </c>
      <c r="D93" s="8" t="inlineStr">
        <is>
          <t>Sheet1 / Evaluated</t>
        </is>
      </c>
      <c r="E93" s="9" t="inlineStr">
        <is>
          <t>BZ (Prescribed), CG (Contraindication)</t>
        </is>
      </c>
      <c r="F93" s="10" t="inlineStr">
        <is>
          <t>BIT (0/1)</t>
        </is>
      </c>
      <c r="G93" s="17" t="inlineStr">
        <is>
          <t>Evaluated</t>
        </is>
      </c>
      <c r="H93" s="9" t="inlineStr">
        <is>
          <t>CASE WHEN (BZ=1 AND CG=1) OR (BZ=0 AND CG=0) THEN 1 ELSE 0 END</t>
        </is>
      </c>
      <c r="I93" s="9">
        <f>IF(OR(AND(BZ2=1, CG2=1), AND(BZ2=0, CG2=0)), 1, 0)</f>
        <v/>
      </c>
      <c r="J93" s="8" t="inlineStr">
        <is>
          <t>Clinical deviation indicator for ARNI therapy</t>
        </is>
      </c>
    </row>
    <row r="94" ht="24" customHeight="1">
      <c r="A94" s="16" t="inlineStr">
        <is>
          <t>CN</t>
        </is>
      </c>
      <c r="B94" s="7" t="n">
        <v>92</v>
      </c>
      <c r="C94" s="13" t="inlineStr">
        <is>
          <t>Deviation for MRA6</t>
        </is>
      </c>
      <c r="D94" s="5" t="inlineStr">
        <is>
          <t>Sheet1 / Evaluated</t>
        </is>
      </c>
      <c r="E94" s="6" t="inlineStr">
        <is>
          <t>CA (Prescribed), CH (Contraindication)</t>
        </is>
      </c>
      <c r="F94" s="7" t="inlineStr">
        <is>
          <t>BIT (0/1)</t>
        </is>
      </c>
      <c r="G94" s="17" t="inlineStr">
        <is>
          <t>Evaluated</t>
        </is>
      </c>
      <c r="H94" s="6" t="inlineStr">
        <is>
          <t>CASE WHEN (CA=1 AND CH=1) OR (CA=0 AND CH=0) THEN 1 ELSE 0 END</t>
        </is>
      </c>
      <c r="I94" s="6">
        <f>IF(OR(AND(CA2=1, CH2=1), AND(CA2=0, CH2=0)), 1, 0)</f>
        <v/>
      </c>
      <c r="J94" s="5" t="inlineStr">
        <is>
          <t>Clinical deviation indicator for Mineralocorticoid Receptor Antagonist therapy</t>
        </is>
      </c>
    </row>
    <row r="95" ht="24" customHeight="1">
      <c r="A95" s="14" t="inlineStr">
        <is>
          <t>CO</t>
        </is>
      </c>
      <c r="B95" s="10" t="n">
        <v>93</v>
      </c>
      <c r="C95" s="12" t="inlineStr">
        <is>
          <t>Deviation for SGLT2 inhibitor7</t>
        </is>
      </c>
      <c r="D95" s="8" t="inlineStr">
        <is>
          <t>Sheet1 / Evaluated</t>
        </is>
      </c>
      <c r="E95" s="9" t="inlineStr">
        <is>
          <t>CB (Prescribed), CI (Contraindication)</t>
        </is>
      </c>
      <c r="F95" s="10" t="inlineStr">
        <is>
          <t>BIT (0/1)</t>
        </is>
      </c>
      <c r="G95" s="17" t="inlineStr">
        <is>
          <t>Evaluated</t>
        </is>
      </c>
      <c r="H95" s="9" t="inlineStr">
        <is>
          <t>CASE WHEN (CB=1 AND CI=1) OR (CB=0 AND CI=0) THEN 1 ELSE 0 END</t>
        </is>
      </c>
      <c r="I95" s="9">
        <f>IF(OR(AND(CB2=1, CI2=1), AND(CB2=0, CI2=0)), 1, 0)</f>
        <v/>
      </c>
      <c r="J95" s="8" t="inlineStr">
        <is>
          <t>Clinical deviation indicator for SGLT2 Inhibitor therapy</t>
        </is>
      </c>
    </row>
    <row r="96" ht="24" customHeight="1">
      <c r="A96" s="16" t="inlineStr">
        <is>
          <t>CP</t>
        </is>
      </c>
      <c r="B96" s="7" t="n">
        <v>94</v>
      </c>
      <c r="C96" s="13" t="inlineStr">
        <is>
          <t>Total Deviations present</t>
        </is>
      </c>
      <c r="D96" s="5" t="inlineStr">
        <is>
          <t>Sheet1 / Aggregated</t>
        </is>
      </c>
      <c r="E96" s="6" t="inlineStr">
        <is>
          <t>CJ + CK + CL + CM + CN + CO</t>
        </is>
      </c>
      <c r="F96" s="7" t="inlineStr">
        <is>
          <t>INT (0-6)</t>
        </is>
      </c>
      <c r="G96" s="17" t="inlineStr">
        <is>
          <t>Calculated</t>
        </is>
      </c>
      <c r="H96" s="6" t="inlineStr">
        <is>
          <t>CJ + CK + CL + CM + CN + CO</t>
        </is>
      </c>
      <c r="I96" s="6">
        <f>SUM(CJ2:CO2)</f>
        <v/>
      </c>
      <c r="J96" s="5" t="inlineStr">
        <is>
          <t>Total count of guideline deviations across the 6 drug pillars (0 = complete adherence, 6 = complete deviation)</t>
        </is>
      </c>
    </row>
    <row r="97" ht="24" customHeight="1">
      <c r="A97" s="14" t="inlineStr">
        <is>
          <t>CQ</t>
        </is>
      </c>
      <c r="B97" s="10" t="n">
        <v>95</v>
      </c>
      <c r="C97" s="12" t="inlineStr">
        <is>
          <t>Total Variables</t>
        </is>
      </c>
      <c r="D97" s="8" t="inlineStr">
        <is>
          <t>Constant Parameter</t>
        </is>
      </c>
      <c r="E97" s="9" t="inlineStr">
        <is>
          <t>Number of Pillars Evaluated</t>
        </is>
      </c>
      <c r="F97" s="10" t="inlineStr">
        <is>
          <t>INT</t>
        </is>
      </c>
      <c r="G97" s="10" t="inlineStr">
        <is>
          <t>Fixed Constant</t>
        </is>
      </c>
      <c r="H97" s="9" t="inlineStr">
        <is>
          <t>6</t>
        </is>
      </c>
      <c r="I97" s="9">
        <f>6</f>
        <v/>
      </c>
      <c r="J97" s="8" t="inlineStr">
        <is>
          <t>Denominator representing the 6 evaluated therapeutic drug classes</t>
        </is>
      </c>
    </row>
    <row r="98" ht="24" customHeight="1">
      <c r="A98" s="16" t="inlineStr">
        <is>
          <t>CR</t>
        </is>
      </c>
      <c r="B98" s="7" t="n">
        <v>96</v>
      </c>
      <c r="C98" s="13" t="inlineStr">
        <is>
          <t>% of GDMT adhered to</t>
        </is>
      </c>
      <c r="D98" s="5" t="inlineStr">
        <is>
          <t>Sheet1 / Evaluated</t>
        </is>
      </c>
      <c r="E98" s="6" t="inlineStr">
        <is>
          <t>CQ (Total Variables), CP (Total Deviations)</t>
        </is>
      </c>
      <c r="F98" s="7" t="inlineStr">
        <is>
          <t>DECIMAL(4,2)</t>
        </is>
      </c>
      <c r="G98" s="17" t="inlineStr">
        <is>
          <t>Calculated</t>
        </is>
      </c>
      <c r="H98" s="6" t="inlineStr">
        <is>
          <t>ROUND((CQ - CP) / CQ, 2)</t>
        </is>
      </c>
      <c r="I98" s="6">
        <f>(CQ2-CP2)/CQ2</f>
        <v/>
      </c>
      <c r="J98" s="5" t="inlineStr">
        <is>
          <t>Standardized patient adherence proportion: (6 - Deviations) / 6. (Values: 1.0, 0.83, 0.67, 0.50, 0.33, 0.17, 0.0)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30" customWidth="1" min="4" max="4"/>
    <col width="32" customWidth="1" min="5" max="5"/>
    <col width="32" customWidth="1" min="6" max="6"/>
    <col width="26" customWidth="1" min="7" max="7"/>
    <col width="40" customWidth="1" min="8" max="8"/>
    <col width="45" customWidth="1" min="9" max="9"/>
    <col width="45" customWidth="1" min="10" max="10"/>
  </cols>
  <sheetData>
    <row r="1" ht="30" customHeight="1">
      <c r="A1" s="1" t="inlineStr">
        <is>
          <t>CLINICAL INTELLIGENCE CONTRAINDICATION ENGINE: CI FLAGS MAPPING SPECIFICATION</t>
        </is>
      </c>
    </row>
    <row r="2" ht="28" customHeight="1">
      <c r="A2" s="4" t="inlineStr">
        <is>
          <t>Col Letter</t>
        </is>
      </c>
      <c r="B2" s="4" t="inlineStr">
        <is>
          <t>CI Flag Column Name</t>
        </is>
      </c>
      <c r="C2" s="4" t="inlineStr">
        <is>
          <t>Target Database Table(s)</t>
        </is>
      </c>
      <c r="D2" s="4" t="inlineStr">
        <is>
          <t>Target Database Column(s)</t>
        </is>
      </c>
      <c r="E2" s="4" t="inlineStr">
        <is>
          <t>Clinical Cutoff / Threshold</t>
        </is>
      </c>
      <c r="F2" s="4" t="inlineStr">
        <is>
          <t>Rule / Keywords Searched</t>
        </is>
      </c>
      <c r="G2" s="4" t="inlineStr">
        <is>
          <t>Source Columns in Sheet1</t>
        </is>
      </c>
      <c r="H2" s="4" t="inlineStr">
        <is>
          <t>Dashboard Formula (Excel Syntax)</t>
        </is>
      </c>
      <c r="I2" s="4" t="inlineStr">
        <is>
          <t>SQL Deterministic Implementation Expression</t>
        </is>
      </c>
      <c r="J2" s="4" t="inlineStr">
        <is>
          <t>Clinical Safety &amp; Guideline Rationale</t>
        </is>
      </c>
    </row>
    <row r="3" ht="26" customHeight="1">
      <c r="A3" s="14" t="inlineStr">
        <is>
          <t>A</t>
        </is>
      </c>
      <c r="B3" s="12" t="inlineStr">
        <is>
          <t>UHID</t>
        </is>
      </c>
      <c r="C3" s="8" t="inlineStr">
        <is>
          <t>patient_demographics</t>
        </is>
      </c>
      <c r="D3" s="9" t="inlineStr">
        <is>
          <t>uhid</t>
        </is>
      </c>
      <c r="E3" s="10" t="inlineStr">
        <is>
          <t>N/A</t>
        </is>
      </c>
      <c r="F3" s="8" t="inlineStr">
        <is>
          <t>Exact Key Match</t>
        </is>
      </c>
      <c r="G3" s="8" t="inlineStr">
        <is>
          <t>Sheet1!B (UHID(T3))</t>
        </is>
      </c>
      <c r="H3" s="9">
        <f>'sheet 1'!B2</f>
        <v/>
      </c>
      <c r="I3" s="9" t="inlineStr">
        <is>
          <t>p.uhid</t>
        </is>
      </c>
      <c r="J3" s="8" t="inlineStr">
        <is>
          <t>Patient unique identification number linking CI Flags record to Master Registry Cohort</t>
        </is>
      </c>
    </row>
    <row r="4" ht="26" customHeight="1">
      <c r="A4" s="16" t="inlineStr">
        <is>
          <t>B</t>
        </is>
      </c>
      <c r="B4" s="13" t="inlineStr">
        <is>
          <t>Systolic BP</t>
        </is>
      </c>
      <c r="C4" s="5" t="inlineStr">
        <is>
          <t>hf_initial_assessment</t>
        </is>
      </c>
      <c r="D4" s="6" t="inlineStr">
        <is>
          <t>systolic_bp_sitting</t>
        </is>
      </c>
      <c r="E4" s="7" t="inlineStr">
        <is>
          <t>Numeric SBP in mmHg</t>
        </is>
      </c>
      <c r="F4" s="5" t="inlineStr">
        <is>
          <t>Extracted from seated BP before '/'</t>
        </is>
      </c>
      <c r="G4" s="5" t="inlineStr">
        <is>
          <t>Sheet1!AF (Blood pressure sitting)</t>
        </is>
      </c>
      <c r="H4" s="6">
        <f>IFERROR(VALUE(LEFT(Sheet1!AF2, FIND('/', Sheet1!AF2)-1)), "")</f>
        <v/>
      </c>
      <c r="I4" s="6" t="inlineStr">
        <is>
          <t>ia.systolic_bp_sitting</t>
        </is>
      </c>
      <c r="J4" s="5" t="inlineStr">
        <is>
          <t>Baseline seated systolic blood pressure used to gate vasodilator and neurohormonal therapies</t>
        </is>
      </c>
    </row>
    <row r="5" ht="26" customHeight="1">
      <c r="A5" s="14" t="inlineStr">
        <is>
          <t>C</t>
        </is>
      </c>
      <c r="B5" s="12" t="inlineStr">
        <is>
          <t>Heart rate</t>
        </is>
      </c>
      <c r="C5" s="8" t="inlineStr">
        <is>
          <t>hf_initial_assessment</t>
        </is>
      </c>
      <c r="D5" s="9" t="inlineStr">
        <is>
          <t>heart_rate</t>
        </is>
      </c>
      <c r="E5" s="10" t="inlineStr">
        <is>
          <t>Numeric HR in bpm</t>
        </is>
      </c>
      <c r="F5" s="8" t="inlineStr">
        <is>
          <t>Numerical resting pulse validation</t>
        </is>
      </c>
      <c r="G5" s="8" t="inlineStr">
        <is>
          <t>Sheet1!AB (Heart rate)</t>
        </is>
      </c>
      <c r="H5" s="9">
        <f>IF(ISNUMBER(Sheet1!AB2), Sheet1!AB2, "")</f>
        <v/>
      </c>
      <c r="I5" s="9" t="inlineStr">
        <is>
          <t>ia.heart_rate</t>
        </is>
      </c>
      <c r="J5" s="8" t="inlineStr">
        <is>
          <t>Resting heart rate in beats per minute used to gate chronotropic beta-blockade</t>
        </is>
      </c>
    </row>
    <row r="6" ht="26" customHeight="1">
      <c r="A6" s="16" t="inlineStr">
        <is>
          <t>D</t>
        </is>
      </c>
      <c r="B6" s="13" t="inlineStr">
        <is>
          <t>Potassium</t>
        </is>
      </c>
      <c r="C6" s="5" t="inlineStr">
        <is>
          <t>hf_lab_tests</t>
        </is>
      </c>
      <c r="D6" s="6" t="inlineStr">
        <is>
          <t>potassium_result</t>
        </is>
      </c>
      <c r="E6" s="7" t="inlineStr">
        <is>
          <t>Serum K+ in mEq/L</t>
        </is>
      </c>
      <c r="F6" s="5" t="inlineStr">
        <is>
          <t>Numerical potassium serum level</t>
        </is>
      </c>
      <c r="G6" s="5" t="inlineStr">
        <is>
          <t>Sheet1!BK (Lab tests Potassium)</t>
        </is>
      </c>
      <c r="H6" s="6">
        <f>IF(ISNUMBER(Sheet1!BK2), Sheet1!BK2, "")</f>
        <v/>
      </c>
      <c r="I6" s="6" t="inlineStr">
        <is>
          <t>TRY_CAST(lt.potassium_result AS DECIMAL(4,2))</t>
        </is>
      </c>
      <c r="J6" s="5" t="inlineStr">
        <is>
          <t>Serum potassium level used to monitor hyperkalemia risk under RAASi and MRA therapy</t>
        </is>
      </c>
    </row>
    <row r="7" ht="26" customHeight="1">
      <c r="A7" s="14" t="inlineStr">
        <is>
          <t>E</t>
        </is>
      </c>
      <c r="B7" s="12" t="inlineStr">
        <is>
          <t>Creatinine</t>
        </is>
      </c>
      <c r="C7" s="8" t="inlineStr">
        <is>
          <t>hf_lab_tests</t>
        </is>
      </c>
      <c r="D7" s="9" t="inlineStr">
        <is>
          <t>creatinine_result</t>
        </is>
      </c>
      <c r="E7" s="10" t="inlineStr">
        <is>
          <t>Serum Creatinine in mg/dL</t>
        </is>
      </c>
      <c r="F7" s="8" t="inlineStr">
        <is>
          <t>Numerical creatinine level</t>
        </is>
      </c>
      <c r="G7" s="8" t="inlineStr">
        <is>
          <t>Sheet1!BL (Creatinine)</t>
        </is>
      </c>
      <c r="H7" s="9">
        <f>IF(ISNUMBER(Sheet1!BL2), Sheet1!BL2, "")</f>
        <v/>
      </c>
      <c r="I7" s="9" t="inlineStr">
        <is>
          <t>TRY_CAST(lt.creatinine_result AS DECIMAL(4,2))</t>
        </is>
      </c>
      <c r="J7" s="8" t="inlineStr">
        <is>
          <t>Biomarker of renal function used to establish acute or chronic renal impairment safety thresholds</t>
        </is>
      </c>
    </row>
    <row r="8" ht="26" customHeight="1">
      <c r="A8" s="16" t="inlineStr">
        <is>
          <t>F</t>
        </is>
      </c>
      <c r="B8" s="13" t="inlineStr">
        <is>
          <t>Clinical text (P,S,T,U,X,AO,AP,AQ,AR)</t>
        </is>
      </c>
      <c r="C8" s="5" t="inlineStr">
        <is>
          <t>hf_administrative, hf_initial_assessment, hf_final_clinical_assessment</t>
        </is>
      </c>
      <c r="D8" s="6" t="inlineStr">
        <is>
          <t>present_diagnosis, renal_failure, other_reason_details, previous_diagnosis, recent_hospitalization_reasons, comorbidity fields</t>
        </is>
      </c>
      <c r="E8" s="7" t="inlineStr">
        <is>
          <t>Unstructured Clinical Text</t>
        </is>
      </c>
      <c r="F8" s="5" t="inlineStr">
        <is>
          <t>Concatenation of P, S, T, U, X, AO, AP, AQ, AR with pipe separator</t>
        </is>
      </c>
      <c r="G8" s="5" t="inlineStr">
        <is>
          <t>Sheet1!P, S, T, U, X, AO, AP, AQ, AR</t>
        </is>
      </c>
      <c r="H8" s="6">
        <f>UPPER(Sheet1!P2&amp;" | "&amp;Sheet1!S2&amp;" | "&amp;Sheet1!T2&amp;" | "&amp;Sheet1!U2&amp;" | "&amp;Sheet1!X2&amp;" | "&amp;Sheet1!AO2&amp;" | "&amp;Sheet1!AP2&amp;" | "&amp;Sheet1!AQ2&amp;" | "&amp;Sheet1!AR2)</f>
        <v/>
      </c>
      <c r="I8" s="6" t="inlineStr">
        <is>
          <t>UPPER(CONCAT_WS(' | ', ha.present_diagnosis, ha.other_reason, ia.previous_diagnosis, ia.recent_hospitalization_reasons, fa.cad, fa.hypertension, fa.diabetes_mellitus))</t>
        </is>
      </c>
      <c r="J8" s="5" t="inlineStr">
        <is>
          <t>Aggregated free-text clinical corpus parsed by regex / substring search algorithms to detect undocumented barriers</t>
        </is>
      </c>
    </row>
    <row r="9" ht="26" customHeight="1">
      <c r="A9" s="14" t="inlineStr">
        <is>
          <t>G</t>
        </is>
      </c>
      <c r="B9" s="12" t="inlineStr">
        <is>
          <t>Drug text (BT,BU)</t>
        </is>
      </c>
      <c r="C9" s="8" t="inlineStr">
        <is>
          <t>hf_medical_therapy_part1/2/3</t>
        </is>
      </c>
      <c r="D9" s="9" t="inlineStr">
        <is>
          <t>Prescription trade strings &amp; Generic active ingredients</t>
        </is>
      </c>
      <c r="E9" s="10" t="inlineStr">
        <is>
          <t>Medication Regimen Text</t>
        </is>
      </c>
      <c r="F9" s="8" t="inlineStr">
        <is>
          <t>Concatenation of BT (Trade) and BU (Generic) with pipe separator</t>
        </is>
      </c>
      <c r="G9" s="8" t="inlineStr">
        <is>
          <t>Sheet1!BT (Drugs), Sheet1!BU (Generic Names)</t>
        </is>
      </c>
      <c r="H9" s="9">
        <f>UPPER(Sheet1!BT2&amp;" | "&amp;Sheet1!BU2)</f>
        <v/>
      </c>
      <c r="I9" s="9" t="inlineStr">
        <is>
          <t>UPPER(CONCAT_WS(' | ', prescribedDrugsSummary, genericNamesSummary))</t>
        </is>
      </c>
      <c r="J9" s="8" t="inlineStr">
        <is>
          <t>Medication text corpus searched for concurrent vasoactive inotropes, vasopressors, or unmapped formulations</t>
        </is>
      </c>
    </row>
    <row r="10" ht="26" customHeight="1">
      <c r="A10" s="16" t="inlineStr">
        <is>
          <t>H</t>
        </is>
      </c>
      <c r="B10" s="13" t="inlineStr">
        <is>
          <t>Bradycardia</t>
        </is>
      </c>
      <c r="C10" s="5" t="inlineStr">
        <is>
          <t>hf_initial_assessment</t>
        </is>
      </c>
      <c r="D10" s="6" t="inlineStr">
        <is>
          <t>heart_rate</t>
        </is>
      </c>
      <c r="E10" s="7" t="inlineStr">
        <is>
          <t>&lt; 50 bpm (Absolute Contraindication)</t>
        </is>
      </c>
      <c r="F10" s="5" t="inlineStr">
        <is>
          <t>Heart rate &lt; 50 bpm</t>
        </is>
      </c>
      <c r="G10" s="5" t="inlineStr">
        <is>
          <t>CI_Flags!C (Heart rate)</t>
        </is>
      </c>
      <c r="H10" s="6">
        <f>IF(AND(ISNUMBER(C2), C2 &lt; Contraindications!$E$4), 1, 0)</f>
        <v/>
      </c>
      <c r="I10" s="6" t="inlineStr">
        <is>
          <t>CASE WHEN ia.heart_rate &lt; 50 THEN 1 ELSE 0 END</t>
        </is>
      </c>
      <c r="J10" s="5" t="inlineStr">
        <is>
          <t>Beta-blocker absolute contraindication: Bradycardia precluding negative chronotropic agents</t>
        </is>
      </c>
    </row>
    <row r="11" ht="26" customHeight="1">
      <c r="A11" s="14" t="inlineStr">
        <is>
          <t>I</t>
        </is>
      </c>
      <c r="B11" s="12" t="inlineStr">
        <is>
          <t>SBP &lt; BB/ACEi/ARB threshold</t>
        </is>
      </c>
      <c r="C11" s="8" t="inlineStr">
        <is>
          <t>hf_initial_assessment</t>
        </is>
      </c>
      <c r="D11" s="9" t="inlineStr">
        <is>
          <t>systolic_bp_sitting</t>
        </is>
      </c>
      <c r="E11" s="10" t="inlineStr">
        <is>
          <t>&lt; 90 mmHg (Absolute Contraindication)</t>
        </is>
      </c>
      <c r="F11" s="8" t="inlineStr">
        <is>
          <t>Systolic BP &lt; 90 mmHg</t>
        </is>
      </c>
      <c r="G11" s="8" t="inlineStr">
        <is>
          <t>CI_Flags!B (Systolic BP)</t>
        </is>
      </c>
      <c r="H11" s="9">
        <f>IF(AND(ISNUMBER(B2), B2 &lt; Contraindications!$E$5), 1, 0)</f>
        <v/>
      </c>
      <c r="I11" s="9" t="inlineStr">
        <is>
          <t>CASE WHEN ia.systolic_bp_sitting &lt; 90 THEN 1 ELSE 0 END</t>
        </is>
      </c>
      <c r="J11" s="8" t="inlineStr">
        <is>
          <t>Absolute hypotension safety threshold precluding Beta Blockers, ACE inhibitors, and ARBs</t>
        </is>
      </c>
    </row>
    <row r="12" ht="26" customHeight="1">
      <c r="A12" s="16" t="inlineStr">
        <is>
          <t>J</t>
        </is>
      </c>
      <c r="B12" s="13" t="inlineStr">
        <is>
          <t>SBP &lt; ARNI threshold</t>
        </is>
      </c>
      <c r="C12" s="5" t="inlineStr">
        <is>
          <t>hf_initial_assessment</t>
        </is>
      </c>
      <c r="D12" s="6" t="inlineStr">
        <is>
          <t>systolic_bp_sitting</t>
        </is>
      </c>
      <c r="E12" s="7" t="inlineStr">
        <is>
          <t>&lt; 100 mmHg (Absolute Contraindication)</t>
        </is>
      </c>
      <c r="F12" s="5" t="inlineStr">
        <is>
          <t>Systolic BP &lt; 100 mmHg (Stricter criteria)</t>
        </is>
      </c>
      <c r="G12" s="5" t="inlineStr">
        <is>
          <t>CI_Flags!B (Systolic BP)</t>
        </is>
      </c>
      <c r="H12" s="6">
        <f>IF(AND(ISNUMBER(B2), B2 &lt; Contraindications!$E$16), 1, 0)</f>
        <v/>
      </c>
      <c r="I12" s="6" t="inlineStr">
        <is>
          <t>CASE WHEN ia.systolic_bp_sitting &lt; 100 THEN 1 ELSE 0 END</t>
        </is>
      </c>
      <c r="J12" s="5" t="inlineStr">
        <is>
          <t>Sacubitril/Valsartan specific hypotension threshold: Requires baseline SBP &gt;= 100 mmHg before initiation</t>
        </is>
      </c>
    </row>
    <row r="13" ht="26" customHeight="1">
      <c r="A13" s="14" t="inlineStr">
        <is>
          <t>K</t>
        </is>
      </c>
      <c r="B13" s="12" t="inlineStr">
        <is>
          <t>Shock / inotropes</t>
        </is>
      </c>
      <c r="C13" s="8" t="inlineStr">
        <is>
          <t>hf_administrative, hf_initial_assessment, hf_medical_therapy_part2</t>
        </is>
      </c>
      <c r="D13" s="9" t="inlineStr">
        <is>
          <t>present_diagnosis, drug texts</t>
        </is>
      </c>
      <c r="E13" s="10" t="inlineStr">
        <is>
          <t>Active Cardiogenic Shock / Inotrope Support</t>
        </is>
      </c>
      <c r="F13" s="8" t="inlineStr">
        <is>
          <t>Keywords: 'SHOCK' (in Clinical Text F); 'DOBUTAMINE', 'DOBU', 'NORAD' (in Drug Text G)</t>
        </is>
      </c>
      <c r="G13" s="8" t="inlineStr">
        <is>
          <t>CI_Flags!F, CI_Flags!G</t>
        </is>
      </c>
      <c r="H13" s="9">
        <f>IF(OR(ISNUMBER(SEARCH("SHOCK",F2)), ISNUMBER(SEARCH("DOBUTAMINE",G2)), ISNUMBER(SEARCH("DOBU",G2)), ISNUMBER(SEARCH("NORAD",G2))), 1, 0)</f>
        <v/>
      </c>
      <c r="I13" s="9" t="inlineStr">
        <is>
          <t>CASE WHEN clinicalText LIKE '%SHOCK%' OR drugText LIKE '%DOBUTAMINE%' OR drugText LIKE '%NORAD%' THEN 1 ELSE 0 END</t>
        </is>
      </c>
      <c r="J13" s="8" t="inlineStr">
        <is>
          <t>Absolute contraindication to Beta-blockers during acute hemodynamic instability / inotrope dependency</t>
        </is>
      </c>
    </row>
    <row r="14" ht="26" customHeight="1">
      <c r="A14" s="16" t="inlineStr">
        <is>
          <t>L</t>
        </is>
      </c>
      <c r="B14" s="13" t="inlineStr">
        <is>
          <t>Asthma / COPD</t>
        </is>
      </c>
      <c r="C14" s="5" t="inlineStr">
        <is>
          <t>hf_final_clinical_assessment, hf_initial_assessment</t>
        </is>
      </c>
      <c r="D14" s="6" t="inlineStr">
        <is>
          <t>asthma, copd, clinical_text</t>
        </is>
      </c>
      <c r="E14" s="7" t="inlineStr">
        <is>
          <t>Severe Bronchospastic Airway Disease</t>
        </is>
      </c>
      <c r="F14" s="5" t="inlineStr">
        <is>
          <t>Keywords: 'ASTHMA', 'COPD', 'BRONCH' in Clinical Text F</t>
        </is>
      </c>
      <c r="G14" s="5" t="inlineStr">
        <is>
          <t>CI_Flags!F (Clinical text)</t>
        </is>
      </c>
      <c r="H14" s="6">
        <f>IF(OR(ISNUMBER(SEARCH("ASTHMA",F2)), ISNUMBER(SEARCH("COPD",F2)), ISNUMBER(SEARCH("BRONCH",F2))), 1, 0)</f>
        <v/>
      </c>
      <c r="I14" s="6" t="inlineStr">
        <is>
          <t>CASE WHEN fa.asthma='Yes' OR fa.copd='Yes' OR clinicalText LIKE '%ASTHMA%' OR clinicalText LIKE '%COPD%' THEN 1 ELSE 0 END</t>
        </is>
      </c>
      <c r="J14" s="5" t="inlineStr">
        <is>
          <t>Relative (COPD) or Absolute (Active severe Asthma) contraindication for non-cardioselective Beta Blockers</t>
        </is>
      </c>
    </row>
    <row r="15" ht="26" customHeight="1">
      <c r="A15" s="14" t="inlineStr">
        <is>
          <t>M</t>
        </is>
      </c>
      <c r="B15" s="12" t="inlineStr">
        <is>
          <t>Hyperkalaemia (ACEi/ARB/ARNI)</t>
        </is>
      </c>
      <c r="C15" s="8" t="inlineStr">
        <is>
          <t>hf_lab_tests, hf_initial_assessment</t>
        </is>
      </c>
      <c r="D15" s="9" t="inlineStr">
        <is>
          <t>potassium_result, clinical_text</t>
        </is>
      </c>
      <c r="E15" s="10" t="inlineStr">
        <is>
          <t>K+ &gt; 5.5 mEq/L (Absolute Contraindication)</t>
        </is>
      </c>
      <c r="F15" s="8" t="inlineStr">
        <is>
          <t>Potassium &gt; 5.5 OR keyword 'HYPERKAL' in Clinical Text F</t>
        </is>
      </c>
      <c r="G15" s="8" t="inlineStr">
        <is>
          <t>CI_Flags!D (Potassium), CI_Flags!F (Clinical text)</t>
        </is>
      </c>
      <c r="H15" s="9">
        <f>IF(OR(AND(ISNUMBER(D2), D2 &gt; Contraindications!$E$10), ISNUMBER(SEARCH("HYPERKAL",F2))), 1, 0)</f>
        <v/>
      </c>
      <c r="I15" s="9" t="inlineStr">
        <is>
          <t>CASE WHEN TRY_CAST(lt.potassium_result AS DECIMAL(4,2)) &gt; 5.5 OR clinicalText LIKE '%HYPERKAL%' THEN 1 ELSE 0 END</t>
        </is>
      </c>
      <c r="J15" s="8" t="inlineStr">
        <is>
          <t>Safety limit preventing life-threatening hyperkalemic cardiotoxicity under RAAS inhibition</t>
        </is>
      </c>
    </row>
    <row r="16" ht="26" customHeight="1">
      <c r="A16" s="16" t="inlineStr">
        <is>
          <t>N</t>
        </is>
      </c>
      <c r="B16" s="13" t="inlineStr">
        <is>
          <t>Hyperkalaemia (MRA)</t>
        </is>
      </c>
      <c r="C16" s="5" t="inlineStr">
        <is>
          <t>hf_lab_tests, hf_initial_assessment</t>
        </is>
      </c>
      <c r="D16" s="6" t="inlineStr">
        <is>
          <t>potassium_result, clinical_text</t>
        </is>
      </c>
      <c r="E16" s="7" t="inlineStr">
        <is>
          <t>K+ &gt; 5.0 mEq/L (Stricter Absolute Contraindication)</t>
        </is>
      </c>
      <c r="F16" s="5" t="inlineStr">
        <is>
          <t>Potassium &gt; 5.0 OR keyword 'HYPERKAL' in Clinical Text F</t>
        </is>
      </c>
      <c r="G16" s="5" t="inlineStr">
        <is>
          <t>CI_Flags!D (Potassium), CI_Flags!F (Clinical text)</t>
        </is>
      </c>
      <c r="H16" s="6">
        <f>IF(OR(AND(ISNUMBER(D2), D2 &gt; Contraindications!$E$20), ISNUMBER(SEARCH("HYPERKAL",F2))), 1, 0)</f>
        <v/>
      </c>
      <c r="I16" s="6" t="inlineStr">
        <is>
          <t>CASE WHEN TRY_CAST(lt.potassium_result AS DECIMAL(4,2)) &gt; 5.0 OR clinicalText LIKE '%HYPERKAL%' THEN 1 ELSE 0 END</t>
        </is>
      </c>
      <c r="J16" s="5" t="inlineStr">
        <is>
          <t>Stricter guideline threshold for aldosterone antagonists due to severe risk of potassium retention</t>
        </is>
      </c>
    </row>
    <row r="17" ht="26" customHeight="1">
      <c r="A17" s="14" t="inlineStr">
        <is>
          <t>O</t>
        </is>
      </c>
      <c r="B17" s="12" t="inlineStr">
        <is>
          <t>Renal impairment (creatinine)</t>
        </is>
      </c>
      <c r="C17" s="8" t="inlineStr">
        <is>
          <t>hf_lab_tests</t>
        </is>
      </c>
      <c r="D17" s="9" t="inlineStr">
        <is>
          <t>creatinine_result</t>
        </is>
      </c>
      <c r="E17" s="10" t="inlineStr">
        <is>
          <t>Creatinine &gt; 2.5 mg/dL (Absolute Contraindication)</t>
        </is>
      </c>
      <c r="F17" s="8" t="inlineStr">
        <is>
          <t>Creatinine &gt; 2.5 mg/dL</t>
        </is>
      </c>
      <c r="G17" s="8" t="inlineStr">
        <is>
          <t>CI_Flags!E (Creatinine)</t>
        </is>
      </c>
      <c r="H17" s="9">
        <f>IF(AND(ISNUMBER(E2), E2 &gt; Contraindications!$E$11), 1, 0)</f>
        <v/>
      </c>
      <c r="I17" s="9" t="inlineStr">
        <is>
          <t>CASE WHEN TRY_CAST(lt.creatinine_result AS DECIMAL(4,2)) &gt; 2.5 THEN 1 ELSE 0 END</t>
        </is>
      </c>
      <c r="J17" s="8" t="inlineStr">
        <is>
          <t>Contraindication for ACEi, ARB, ARNI, and MRA initiation due to risk of precipitating acute renal shutdown</t>
        </is>
      </c>
    </row>
    <row r="18" ht="26" customHeight="1">
      <c r="A18" s="16" t="inlineStr">
        <is>
          <t>P</t>
        </is>
      </c>
      <c r="B18" s="13" t="inlineStr">
        <is>
          <t>AV block / sick sinus</t>
        </is>
      </c>
      <c r="C18" s="5" t="inlineStr">
        <is>
          <t>hf_cardiac_investigations, hf_initial_assessment</t>
        </is>
      </c>
      <c r="D18" s="6" t="inlineStr">
        <is>
          <t>ecg_av_second_degree_block, ecg_av_third_degree_block, clinical_text</t>
        </is>
      </c>
      <c r="E18" s="7" t="inlineStr">
        <is>
          <t>High-grade AV Conduction Block (2nd/3rd Degree)</t>
        </is>
      </c>
      <c r="F18" s="5" t="inlineStr">
        <is>
          <t>Keywords: 'AV BLOCK', 'HEART BLOCK', 'CHB', 'SICK SINUS' in Clinical Text F</t>
        </is>
      </c>
      <c r="G18" s="5" t="inlineStr">
        <is>
          <t>CI_Flags!F (Clinical text)</t>
        </is>
      </c>
      <c r="H18" s="6">
        <f>IF(OR(ISNUMBER(SEARCH("AV BLOCK",F2)), ISNUMBER(SEARCH("HEART BLOCK",F2)), ISNUMBER(SEARCH("CHB",F2)), ISNUMBER(SEARCH("SICK SINUS",F2))), 1, 0)</f>
        <v/>
      </c>
      <c r="I18" s="6" t="inlineStr">
        <is>
          <t>CASE WHEN ci.ecg_av_second_degree_block='Yes' OR ci.ecg_av_third_degree_block='Yes' OR clinicalText LIKE '%HEART BLOCK%' OR clinicalText LIKE '%CHB%' THEN 1 ELSE 0 END</t>
        </is>
      </c>
      <c r="J18" s="5" t="inlineStr">
        <is>
          <t>Absolute Beta-blocker contraindication: Worsens high-grade nodal conduction failure in absence of pacemaker</t>
        </is>
      </c>
    </row>
    <row r="19" ht="26" customHeight="1">
      <c r="A19" s="14" t="inlineStr">
        <is>
          <t>Q</t>
        </is>
      </c>
      <c r="B19" s="12" t="inlineStr">
        <is>
          <t>DKA</t>
        </is>
      </c>
      <c r="C19" s="8" t="inlineStr">
        <is>
          <t>hf_initial_assessment, hf_final_clinical_assessment</t>
        </is>
      </c>
      <c r="D19" s="9" t="inlineStr">
        <is>
          <t>clinical_text</t>
        </is>
      </c>
      <c r="E19" s="10" t="inlineStr">
        <is>
          <t>Diabetic Ketoacidosis / Euglycemic DKA</t>
        </is>
      </c>
      <c r="F19" s="8" t="inlineStr">
        <is>
          <t>Keywords: 'DKA', 'KETOACID' in Clinical Text F</t>
        </is>
      </c>
      <c r="G19" s="8" t="inlineStr">
        <is>
          <t>CI_Flags!F (Clinical text)</t>
        </is>
      </c>
      <c r="H19" s="9">
        <f>IF(OR(ISNUMBER(SEARCH("DKA",F2)), ISNUMBER(SEARCH("KETOACID",F2))), 1, 0)</f>
        <v/>
      </c>
      <c r="I19" s="9" t="inlineStr">
        <is>
          <t>CASE WHEN clinicalText LIKE '%DKA%' OR clinicalText LIKE '%KETOACID%' THEN 1 ELSE 0 END</t>
        </is>
      </c>
      <c r="J19" s="8" t="inlineStr">
        <is>
          <t>Absolute contraindication to SGLT2 inhibitors: Risk of inducing life-threatening euglycemic diabetic ketoacidosis</t>
        </is>
      </c>
    </row>
    <row r="20" ht="26" customHeight="1">
      <c r="A20" s="16" t="inlineStr">
        <is>
          <t>R</t>
        </is>
      </c>
      <c r="B20" s="13" t="inlineStr">
        <is>
          <t>UTI / urosepsis</t>
        </is>
      </c>
      <c r="C20" s="5" t="inlineStr">
        <is>
          <t>hf_initial_assessment, hf_administrative</t>
        </is>
      </c>
      <c r="D20" s="6" t="inlineStr">
        <is>
          <t>infection, clinical_text</t>
        </is>
      </c>
      <c r="E20" s="7" t="inlineStr">
        <is>
          <t>Active Severe Genitourinary Sepsis</t>
        </is>
      </c>
      <c r="F20" s="5" t="inlineStr">
        <is>
          <t>Keywords: 'UTI', 'UROSEPSIS' in Clinical Text F</t>
        </is>
      </c>
      <c r="G20" s="5" t="inlineStr">
        <is>
          <t>CI_Flags!F (Clinical text)</t>
        </is>
      </c>
      <c r="H20" s="6">
        <f>IF(OR(ISNUMBER(SEARCH("UTI",F2)), ISNUMBER(SEARCH("UROSEPSIS",F2))), 1, 0)</f>
        <v/>
      </c>
      <c r="I20" s="6" t="inlineStr">
        <is>
          <t>CASE WHEN ha.infection='Yes' OR clinicalText LIKE '%UTI%' OR clinicalText LIKE '%UROSEPSIS%' THEN 1 ELSE 0 END</t>
        </is>
      </c>
      <c r="J20" s="5" t="inlineStr">
        <is>
          <t>Contraindication to SGLT2 inhibitors: Glucosuria exacerbates acute ascending fungal or bacterial urosepsis</t>
        </is>
      </c>
    </row>
    <row r="21" ht="26" customHeight="1">
      <c r="A21" s="14" t="inlineStr">
        <is>
          <t>S</t>
        </is>
      </c>
      <c r="B21" s="12" t="inlineStr">
        <is>
          <t>Severe renal (SGLT2)</t>
        </is>
      </c>
      <c r="C21" s="8" t="inlineStr">
        <is>
          <t>hf_lab_tests</t>
        </is>
      </c>
      <c r="D21" s="9" t="inlineStr">
        <is>
          <t>creatinine_result</t>
        </is>
      </c>
      <c r="E21" s="10" t="inlineStr">
        <is>
          <t>Creatinine &gt; 3.0 mg/dL / eGFR &lt; 20</t>
        </is>
      </c>
      <c r="F21" s="8" t="inlineStr">
        <is>
          <t>Creatinine &gt; 3.0 mg/dL</t>
        </is>
      </c>
      <c r="G21" s="8" t="inlineStr">
        <is>
          <t>CI_Flags!E (Creatinine)</t>
        </is>
      </c>
      <c r="H21" s="9">
        <f>IF(AND(ISNUMBER(E2), E2 &gt; Contraindications!$E$24), 1, 0)</f>
        <v/>
      </c>
      <c r="I21" s="9" t="inlineStr">
        <is>
          <t>CASE WHEN TRY_CAST(lt.creatinine_result AS DECIMAL(4,2)) &gt; 3.0 THEN 1 ELSE 0 END</t>
        </is>
      </c>
      <c r="J21" s="8" t="inlineStr">
        <is>
          <t>Safety cutoff where glycemic and hemodynamic efficacy of SGLT2 inhibitors becomes compromised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8" customWidth="1" min="2" max="2"/>
    <col width="24" customWidth="1" min="3" max="3"/>
    <col width="32" customWidth="1" min="4" max="4"/>
    <col width="45" customWidth="1" min="5" max="5"/>
    <col width="38" customWidth="1" min="6" max="6"/>
    <col width="25" customWidth="1" min="7" max="7"/>
    <col width="45" customWidth="1" min="8" max="8"/>
    <col width="40" customWidth="1" min="9" max="9"/>
  </cols>
  <sheetData>
    <row r="1" ht="30" customHeight="1">
      <c r="A1" s="1" t="inlineStr">
        <is>
          <t>AGGREGATE ANALYTICS &amp; PILLAR UPTAKE: GDMT SUMMARY MAPPING SPECIFICATION</t>
        </is>
      </c>
    </row>
    <row r="2" ht="28" customHeight="1">
      <c r="A2" s="4" t="inlineStr">
        <is>
          <t>Grid Section</t>
        </is>
      </c>
      <c r="B2" s="4" t="inlineStr">
        <is>
          <t>Pillar / Metric Item</t>
        </is>
      </c>
      <c r="C2" s="4" t="inlineStr">
        <is>
          <t>Dashboard Output Columns</t>
        </is>
      </c>
      <c r="D2" s="4" t="inlineStr">
        <is>
          <t>Target Database Tables &amp; Columns</t>
        </is>
      </c>
      <c r="E2" s="4" t="inlineStr">
        <is>
          <t>Cohort Aggregation SQL Query / Expression</t>
        </is>
      </c>
      <c r="F2" s="4" t="inlineStr">
        <is>
          <t>Excel Dashboard Formula</t>
        </is>
      </c>
      <c r="G2" s="4" t="inlineStr">
        <is>
          <t>Reference Sheet &amp; Cells</t>
        </is>
      </c>
      <c r="H2" s="4" t="inlineStr">
        <is>
          <t>Clinical Interpretation &amp; Benchmark Value</t>
        </is>
      </c>
      <c r="I2" s="4" t="inlineStr">
        <is>
          <t>Engineering Validation Notes</t>
        </is>
      </c>
    </row>
    <row r="3" ht="25" customHeight="1">
      <c r="A3" s="12" t="inlineStr">
        <is>
          <t>1. GDMT Pillar Uptake</t>
        </is>
      </c>
      <c r="B3" s="12" t="inlineStr">
        <is>
          <t>Beta blocker</t>
        </is>
      </c>
      <c r="C3" s="8" t="inlineStr">
        <is>
          <t>Patients Received, Total, Proportion, %</t>
        </is>
      </c>
      <c r="D3" s="8" t="inlineStr">
        <is>
          <t>hf_medical_therapy_part1 (carvedilol, bisoprolol, metoprolol_succinate, nebivolol)</t>
        </is>
      </c>
      <c r="E3" s="9" t="inlineStr">
        <is>
          <t>SUM(CASE WHEN carvedilol='Yes' OR bisoprolol='Yes' OR metoprolol_succinate='Yes' OR nebivolol='Yes' THEN 1 ELSE 0 END)</t>
        </is>
      </c>
      <c r="F3" s="9">
        <f>COUNTIF(Sheet1!BW2:BW286, 1)</f>
        <v/>
      </c>
      <c r="G3" s="10" t="inlineStr">
        <is>
          <t>Sheet1!BW2:BW286</t>
        </is>
      </c>
      <c r="H3" s="8" t="inlineStr">
        <is>
          <t>Cohort uptake of sympathetic blockade (Benchmark: 36-39% baseline adherence)</t>
        </is>
      </c>
      <c r="I3" s="8" t="inlineStr">
        <is>
          <t>Direct sum of binary prescribed flag</t>
        </is>
      </c>
    </row>
    <row r="4" ht="25" customHeight="1">
      <c r="A4" s="13" t="inlineStr">
        <is>
          <t>1. GDMT Pillar Uptake</t>
        </is>
      </c>
      <c r="B4" s="13" t="inlineStr">
        <is>
          <t>ACE inhibitor</t>
        </is>
      </c>
      <c r="C4" s="5" t="inlineStr">
        <is>
          <t>Patients Received, Total, Proportion, %</t>
        </is>
      </c>
      <c r="D4" s="5" t="inlineStr">
        <is>
          <t>hf_medical_therapy_part1 (enalapril, ramipril, lisinopril, perindopril)</t>
        </is>
      </c>
      <c r="E4" s="6" t="inlineStr">
        <is>
          <t>SUM(CASE WHEN enalapril='Yes' OR ramipril='Yes' OR lisinopril='Yes' OR perindopril='Yes' THEN 1 ELSE 0 END)</t>
        </is>
      </c>
      <c r="F4" s="6">
        <f>COUNTIF(Sheet1!BX2:BX286, 1)</f>
        <v/>
      </c>
      <c r="G4" s="7" t="inlineStr">
        <is>
          <t>Sheet1!BX2:BX286</t>
        </is>
      </c>
      <c r="H4" s="5" t="inlineStr">
        <is>
          <t>Cohort uptake of ACE inhibitors (Benchmark: ~0.8-1% uptake)</t>
        </is>
      </c>
      <c r="I4" s="5" t="inlineStr">
        <is>
          <t>Alternative to ARB/ARNI in RAAS inhibition</t>
        </is>
      </c>
    </row>
    <row r="5" ht="25" customHeight="1">
      <c r="A5" s="12" t="inlineStr">
        <is>
          <t>1. GDMT Pillar Uptake</t>
        </is>
      </c>
      <c r="B5" s="12" t="inlineStr">
        <is>
          <t>ARB</t>
        </is>
      </c>
      <c r="C5" s="8" t="inlineStr">
        <is>
          <t>Patients Received, Total, Proportion, %</t>
        </is>
      </c>
      <c r="D5" s="8" t="inlineStr">
        <is>
          <t>hf_medical_therapy_part1 (valsartan, losartan, telmisartan, olmesartan)</t>
        </is>
      </c>
      <c r="E5" s="9" t="inlineStr">
        <is>
          <t>SUM(CASE WHEN valsartan='Yes' OR losartan='Yes' OR telmisartan='Yes' OR olmesartan='Yes' THEN 1 ELSE 0 END)</t>
        </is>
      </c>
      <c r="F5" s="9">
        <f>COUNTIF(Sheet1!BY2:BY286, 1)</f>
        <v/>
      </c>
      <c r="G5" s="10" t="inlineStr">
        <is>
          <t>Sheet1!BY2:BY286</t>
        </is>
      </c>
      <c r="H5" s="8" t="inlineStr">
        <is>
          <t>Cohort uptake of Angiotensin Receptor Blockers (Benchmark: ~4.2-4.7% uptake)</t>
        </is>
      </c>
      <c r="I5" s="8" t="inlineStr">
        <is>
          <t>Alternative for ACEi-intolerant patients</t>
        </is>
      </c>
    </row>
    <row r="6" ht="25" customHeight="1">
      <c r="A6" s="13" t="inlineStr">
        <is>
          <t>1. GDMT Pillar Uptake</t>
        </is>
      </c>
      <c r="B6" s="13" t="inlineStr">
        <is>
          <t>ARNI</t>
        </is>
      </c>
      <c r="C6" s="5" t="inlineStr">
        <is>
          <t>Patients Received, Total, Proportion, %</t>
        </is>
      </c>
      <c r="D6" s="5" t="inlineStr">
        <is>
          <t>hf_followup_records (arni_sacubitril_valsartan_taking), clinical texts</t>
        </is>
      </c>
      <c r="E6" s="6" t="inlineStr">
        <is>
          <t>SUM(CASE WHEN arni_sacubitril_valsartan_taking='Yes' OR drug_text LIKE '%SACUBITRIL%' THEN 1 ELSE 0 END)</t>
        </is>
      </c>
      <c r="F6" s="6">
        <f>COUNTIF(Sheet1!BZ2:BZ286, 1)</f>
        <v/>
      </c>
      <c r="G6" s="7" t="inlineStr">
        <is>
          <t>Sheet1!BZ2:BZ286</t>
        </is>
      </c>
      <c r="H6" s="5" t="inlineStr">
        <is>
          <t>Cohort uptake of Sacubitril/Valsartan (Benchmark: ~19-23% uptake)</t>
        </is>
      </c>
      <c r="I6" s="5" t="inlineStr">
        <is>
          <t>First-line class I recommendation in HFrEF</t>
        </is>
      </c>
    </row>
    <row r="7" ht="25" customHeight="1">
      <c r="A7" s="12" t="inlineStr">
        <is>
          <t>1. GDMT Pillar Uptake</t>
        </is>
      </c>
      <c r="B7" s="12" t="inlineStr">
        <is>
          <t>MRA</t>
        </is>
      </c>
      <c r="C7" s="8" t="inlineStr">
        <is>
          <t>Patients Received, Total, Proportion, %</t>
        </is>
      </c>
      <c r="D7" s="8" t="inlineStr">
        <is>
          <t>hf_medical_therapy_part1 (spironolactone, eplerenone)</t>
        </is>
      </c>
      <c r="E7" s="9" t="inlineStr">
        <is>
          <t>SUM(CASE WHEN spironolactone='Yes' OR eplerenone='Yes' THEN 1 ELSE 0 END)</t>
        </is>
      </c>
      <c r="F7" s="9">
        <f>COUNTIF(Sheet1!CA2:CA286, 1)</f>
        <v/>
      </c>
      <c r="G7" s="10" t="inlineStr">
        <is>
          <t>Sheet1!CA2:CA286</t>
        </is>
      </c>
      <c r="H7" s="8" t="inlineStr">
        <is>
          <t>Cohort uptake of aldosterone antagonists (Benchmark: ~69-72% uptake)</t>
        </is>
      </c>
      <c r="I7" s="8" t="inlineStr">
        <is>
          <t>Highest baseline utilized drug pillar in cohort</t>
        </is>
      </c>
    </row>
    <row r="8" ht="25" customHeight="1">
      <c r="A8" s="13" t="inlineStr">
        <is>
          <t>1. GDMT Pillar Uptake</t>
        </is>
      </c>
      <c r="B8" s="13" t="inlineStr">
        <is>
          <t>SGLT2 inhibitor</t>
        </is>
      </c>
      <c r="C8" s="5" t="inlineStr">
        <is>
          <t>Patients Received, Total, Proportion, %</t>
        </is>
      </c>
      <c r="D8" s="5" t="inlineStr">
        <is>
          <t>hf_followup_records (sglt2_dapagliflozin_taking), clinical texts</t>
        </is>
      </c>
      <c r="E8" s="6" t="inlineStr">
        <is>
          <t>SUM(CASE WHEN sglt2_dapagliflozin_taking='Yes' OR drug_text LIKE '%DAPAGLIFLOZIN%' THEN 1 ELSE 0 END)</t>
        </is>
      </c>
      <c r="F8" s="6">
        <f>COUNTIF(Sheet1!CB2:CB286, 1)</f>
        <v/>
      </c>
      <c r="G8" s="7" t="inlineStr">
        <is>
          <t>Sheet1!CB2:CB286</t>
        </is>
      </c>
      <c r="H8" s="5" t="inlineStr">
        <is>
          <t>Cohort uptake of SGLT2 inhibitors (Benchmark: ~10-12% uptake)</t>
        </is>
      </c>
      <c r="I8" s="5" t="inlineStr">
        <is>
          <t>Fourth guideline pillar for HFrEF &amp; HFpEF</t>
        </is>
      </c>
    </row>
    <row r="9" ht="25" customHeight="1">
      <c r="A9" s="12" t="inlineStr">
        <is>
          <t>2. Multi-Drug Polytherapy</t>
        </is>
      </c>
      <c r="B9" s="12" t="inlineStr">
        <is>
          <t>0 Drugs Taken</t>
        </is>
      </c>
      <c r="C9" s="8" t="inlineStr">
        <is>
          <t>Number of Patients, % of Cohort</t>
        </is>
      </c>
      <c r="D9" s="8" t="inlineStr">
        <is>
          <t>Computed from CC (Number of GDMT Drugs Taken)</t>
        </is>
      </c>
      <c r="E9" s="9" t="inlineStr">
        <is>
          <t>COUNT(*) WHERE (BW+BX+BY+BZ+CA+CB) = 0</t>
        </is>
      </c>
      <c r="F9" s="9">
        <f>COUNTIF(Sheet1!CC2:CC286, 0)</f>
        <v/>
      </c>
      <c r="G9" s="10" t="inlineStr">
        <is>
          <t>Sheet1!CC2:CC286</t>
        </is>
      </c>
      <c r="H9" s="8" t="inlineStr">
        <is>
          <t>Patients receiving zero guideline medical therapies (~14% of cohort)</t>
        </is>
      </c>
      <c r="I9" s="8" t="inlineStr">
        <is>
          <t>Reflects profound care gap or end-stage refractory shock</t>
        </is>
      </c>
    </row>
    <row r="10" ht="25" customHeight="1">
      <c r="A10" s="13" t="inlineStr">
        <is>
          <t>2. Multi-Drug Polytherapy</t>
        </is>
      </c>
      <c r="B10" s="13" t="inlineStr">
        <is>
          <t>1 Drug Taken (Monotherapy)</t>
        </is>
      </c>
      <c r="C10" s="5" t="inlineStr">
        <is>
          <t>Number of Patients, % of Cohort</t>
        </is>
      </c>
      <c r="D10" s="5" t="inlineStr">
        <is>
          <t>Computed from CC</t>
        </is>
      </c>
      <c r="E10" s="6" t="inlineStr">
        <is>
          <t>COUNT(*) WHERE (BW+BX+BY+BZ+CA+CB) = 1</t>
        </is>
      </c>
      <c r="F10" s="6">
        <f>COUNTIF(Sheet1!CC2:CC286, 1)</f>
        <v/>
      </c>
      <c r="G10" s="7" t="inlineStr">
        <is>
          <t>Sheet1!CC2:CC286</t>
        </is>
      </c>
      <c r="H10" s="5" t="inlineStr">
        <is>
          <t>Patients on a single isolated pillar (~42% of cohort, typically MRA only)</t>
        </is>
      </c>
      <c r="I10" s="5" t="inlineStr">
        <is>
          <t>Dominant clinical pattern at presentation</t>
        </is>
      </c>
    </row>
    <row r="11" ht="25" customHeight="1">
      <c r="A11" s="12" t="inlineStr">
        <is>
          <t>2. Multi-Drug Polytherapy</t>
        </is>
      </c>
      <c r="B11" s="12" t="inlineStr">
        <is>
          <t>2 Drugs Taken (Dual Therapy)</t>
        </is>
      </c>
      <c r="C11" s="8" t="inlineStr">
        <is>
          <t>Number of Patients, % of Cohort</t>
        </is>
      </c>
      <c r="D11" s="8" t="inlineStr">
        <is>
          <t>Computed from CC</t>
        </is>
      </c>
      <c r="E11" s="9" t="inlineStr">
        <is>
          <t>COUNT(*) WHERE (BW+BX+BY+BZ+CA+CB) = 2</t>
        </is>
      </c>
      <c r="F11" s="9">
        <f>COUNTIF(Sheet1!CC2:CC286, 2)</f>
        <v/>
      </c>
      <c r="G11" s="10" t="inlineStr">
        <is>
          <t>Sheet1!CC2:CC286</t>
        </is>
      </c>
      <c r="H11" s="8" t="inlineStr">
        <is>
          <t>Patients on dual GDMT combination (~32% of cohort, e.g. BB + MRA)</t>
        </is>
      </c>
      <c r="I11" s="8" t="inlineStr">
        <is>
          <t>Moderate partial adherence</t>
        </is>
      </c>
    </row>
    <row r="12" ht="25" customHeight="1">
      <c r="A12" s="13" t="inlineStr">
        <is>
          <t>2. Multi-Drug Polytherapy</t>
        </is>
      </c>
      <c r="B12" s="13" t="inlineStr">
        <is>
          <t>3 Drugs Taken (Triple Therapy)</t>
        </is>
      </c>
      <c r="C12" s="5" t="inlineStr">
        <is>
          <t>Number of Patients, % of Cohort</t>
        </is>
      </c>
      <c r="D12" s="5" t="inlineStr">
        <is>
          <t>Computed from CC</t>
        </is>
      </c>
      <c r="E12" s="6" t="inlineStr">
        <is>
          <t>COUNT(*) WHERE (BW+BX+BY+BZ+CA+CB) = 3</t>
        </is>
      </c>
      <c r="F12" s="6">
        <f>COUNTIF(Sheet1!CC2:CC286, 3)</f>
        <v/>
      </c>
      <c r="G12" s="7" t="inlineStr">
        <is>
          <t>Sheet1!CC2:CC286</t>
        </is>
      </c>
      <c r="H12" s="5" t="inlineStr">
        <is>
          <t>Patients receiving 3 pillars (~9% of cohort)</t>
        </is>
      </c>
      <c r="I12" s="5" t="inlineStr">
        <is>
          <t>Substantial guideline optimization</t>
        </is>
      </c>
    </row>
    <row r="13" ht="25" customHeight="1">
      <c r="A13" s="12" t="inlineStr">
        <is>
          <t>2. Multi-Drug Polytherapy</t>
        </is>
      </c>
      <c r="B13" s="12" t="inlineStr">
        <is>
          <t>4+ Drugs Taken (Quadruple Therapy)</t>
        </is>
      </c>
      <c r="C13" s="8" t="inlineStr">
        <is>
          <t>Number of Patients, % of Cohort</t>
        </is>
      </c>
      <c r="D13" s="8" t="inlineStr">
        <is>
          <t>Computed from CC</t>
        </is>
      </c>
      <c r="E13" s="9" t="inlineStr">
        <is>
          <t>COUNT(*) WHERE (BW+BX+BY+BZ+CA+CB) &gt;= 4</t>
        </is>
      </c>
      <c r="F13" s="9">
        <f>COUNTIF(Sheet1!CC2:CC286, "&gt;=4")</f>
        <v/>
      </c>
      <c r="G13" s="10" t="inlineStr">
        <is>
          <t>Sheet1!CC2:CC286</t>
        </is>
      </c>
      <c r="H13" s="8" t="inlineStr">
        <is>
          <t>Optimal guideline care: Quadruple therapy (~2% of cohort)</t>
        </is>
      </c>
      <c r="I13" s="8" t="inlineStr">
        <is>
          <t>Gold standard comprehensive therapy</t>
        </is>
      </c>
    </row>
    <row r="14" ht="25" customHeight="1">
      <c r="A14" s="13" t="inlineStr">
        <is>
          <t>3. Prescriptions Irrespective of CI</t>
        </is>
      </c>
      <c r="B14" s="13" t="inlineStr">
        <is>
          <t>Beta Blocker Prescribed</t>
        </is>
      </c>
      <c r="C14" s="5" t="inlineStr">
        <is>
          <t>Count of UHID, %</t>
        </is>
      </c>
      <c r="D14" s="5" t="inlineStr">
        <is>
          <t>Sheet1!BW, patient_demographics.uhid</t>
        </is>
      </c>
      <c r="E14" s="6" t="inlineStr">
        <is>
          <t>COUNT(DISTINCT p.uhid) WHERE BW = 1</t>
        </is>
      </c>
      <c r="F14" s="6">
        <f>COUNTIF(Sheet1!BW2:BW286, 1)</f>
        <v/>
      </c>
      <c r="G14" s="7" t="inlineStr">
        <is>
          <t>Sheet1!BW2:BW286, B2:B286</t>
        </is>
      </c>
      <c r="H14" s="5" t="inlineStr">
        <is>
          <t>Total patients receiving Beta Blocker regardless of contraindication flag</t>
        </is>
      </c>
      <c r="I14" s="5" t="inlineStr">
        <is>
          <t>Numerator: 108 / 278 (38.85%)</t>
        </is>
      </c>
    </row>
    <row r="15" ht="25" customHeight="1">
      <c r="A15" s="12" t="inlineStr">
        <is>
          <t>3. Prescriptions Irrespective of CI</t>
        </is>
      </c>
      <c r="B15" s="12" t="inlineStr">
        <is>
          <t>ACE Inhibitor Prescribed</t>
        </is>
      </c>
      <c r="C15" s="8" t="inlineStr">
        <is>
          <t>Count of UHID, %</t>
        </is>
      </c>
      <c r="D15" s="8" t="inlineStr">
        <is>
          <t>Sheet1!BX, patient_demographics.uhid</t>
        </is>
      </c>
      <c r="E15" s="9" t="inlineStr">
        <is>
          <t>COUNT(DISTINCT p.uhid) WHERE BX = 1</t>
        </is>
      </c>
      <c r="F15" s="9">
        <f>COUNTIF(Sheet1!BX2:BX286, 1)</f>
        <v/>
      </c>
      <c r="G15" s="10" t="inlineStr">
        <is>
          <t>Sheet1!BX2:BX286, B2:B286</t>
        </is>
      </c>
      <c r="H15" s="8" t="inlineStr">
        <is>
          <t>Total patients receiving ACE Inhibitor</t>
        </is>
      </c>
      <c r="I15" s="8" t="inlineStr">
        <is>
          <t>Numerator: 2 / 278 (0.72%)</t>
        </is>
      </c>
    </row>
    <row r="16" ht="25" customHeight="1">
      <c r="A16" s="13" t="inlineStr">
        <is>
          <t>3. Prescriptions Irrespective of CI</t>
        </is>
      </c>
      <c r="B16" s="13" t="inlineStr">
        <is>
          <t>ARB Prescribed</t>
        </is>
      </c>
      <c r="C16" s="5" t="inlineStr">
        <is>
          <t>Count of UHID, %</t>
        </is>
      </c>
      <c r="D16" s="5" t="inlineStr">
        <is>
          <t>Sheet1!BY, patient_demographics.uhid</t>
        </is>
      </c>
      <c r="E16" s="6" t="inlineStr">
        <is>
          <t>COUNT(DISTINCT p.uhid) WHERE BY = 1</t>
        </is>
      </c>
      <c r="F16" s="6">
        <f>COUNTIF(Sheet1!BY2:BY286, 1)</f>
        <v/>
      </c>
      <c r="G16" s="7" t="inlineStr">
        <is>
          <t>Sheet1!BY2:BY286, B2:B286</t>
        </is>
      </c>
      <c r="H16" s="5" t="inlineStr">
        <is>
          <t>Total patients receiving ARB</t>
        </is>
      </c>
      <c r="I16" s="5" t="inlineStr">
        <is>
          <t>Numerator: 13 / 278 (4.68%)</t>
        </is>
      </c>
    </row>
    <row r="17" ht="25" customHeight="1">
      <c r="A17" s="12" t="inlineStr">
        <is>
          <t>3. Prescriptions Irrespective of CI</t>
        </is>
      </c>
      <c r="B17" s="12" t="inlineStr">
        <is>
          <t>ARNI Prescribed</t>
        </is>
      </c>
      <c r="C17" s="8" t="inlineStr">
        <is>
          <t>Count of UHID, %</t>
        </is>
      </c>
      <c r="D17" s="8" t="inlineStr">
        <is>
          <t>Sheet1!BZ, patient_demographics.uhid</t>
        </is>
      </c>
      <c r="E17" s="9" t="inlineStr">
        <is>
          <t>COUNT(DISTINCT p.uhid) WHERE BZ = 1</t>
        </is>
      </c>
      <c r="F17" s="9">
        <f>COUNTIF(Sheet1!BZ2:BZ286, 1)</f>
        <v/>
      </c>
      <c r="G17" s="10" t="inlineStr">
        <is>
          <t>Sheet1!BZ2:BZ286, B2:B286</t>
        </is>
      </c>
      <c r="H17" s="8" t="inlineStr">
        <is>
          <t>Total patients receiving ARNI</t>
        </is>
      </c>
      <c r="I17" s="8" t="inlineStr">
        <is>
          <t>Numerator: 54 / 278 (19.42%)</t>
        </is>
      </c>
    </row>
    <row r="18" ht="25" customHeight="1">
      <c r="A18" s="13" t="inlineStr">
        <is>
          <t>3. Prescriptions Irrespective of CI</t>
        </is>
      </c>
      <c r="B18" s="13" t="inlineStr">
        <is>
          <t>MRA Prescribed</t>
        </is>
      </c>
      <c r="C18" s="5" t="inlineStr">
        <is>
          <t>Count of UHID, %</t>
        </is>
      </c>
      <c r="D18" s="5" t="inlineStr">
        <is>
          <t>Sheet1!CA, patient_demographics.uhid</t>
        </is>
      </c>
      <c r="E18" s="6" t="inlineStr">
        <is>
          <t>COUNT(DISTINCT p.uhid) WHERE CA = 1</t>
        </is>
      </c>
      <c r="F18" s="6">
        <f>COUNTIF(Sheet1!CA2:CA286, 1)</f>
        <v/>
      </c>
      <c r="G18" s="7" t="inlineStr">
        <is>
          <t>Sheet1!CA2:CA286, B2:B286</t>
        </is>
      </c>
      <c r="H18" s="5" t="inlineStr">
        <is>
          <t>Total patients receiving MRA</t>
        </is>
      </c>
      <c r="I18" s="5" t="inlineStr">
        <is>
          <t>Numerator: 192 / 278 (69.06%)</t>
        </is>
      </c>
    </row>
    <row r="19" ht="25" customHeight="1">
      <c r="A19" s="12" t="inlineStr">
        <is>
          <t>3. Prescriptions Irrespective of CI</t>
        </is>
      </c>
      <c r="B19" s="12" t="inlineStr">
        <is>
          <t>SGLT2 Inhibitor Prescribed</t>
        </is>
      </c>
      <c r="C19" s="8" t="inlineStr">
        <is>
          <t>Count of UHID, %</t>
        </is>
      </c>
      <c r="D19" s="8" t="inlineStr">
        <is>
          <t>Sheet1!CB, patient_demographics.uhid</t>
        </is>
      </c>
      <c r="E19" s="9" t="inlineStr">
        <is>
          <t>COUNT(DISTINCT p.uhid) WHERE CB = 1</t>
        </is>
      </c>
      <c r="F19" s="9">
        <f>COUNTIF(Sheet1!CB2:CB286, 1)</f>
        <v/>
      </c>
      <c r="G19" s="10" t="inlineStr">
        <is>
          <t>Sheet1!CB2:CB286, B2:B286</t>
        </is>
      </c>
      <c r="H19" s="8" t="inlineStr">
        <is>
          <t>Total patients receiving SGLT2i</t>
        </is>
      </c>
      <c r="I19" s="8" t="inlineStr">
        <is>
          <t>Numerator: 27 / 278 (9.71%)</t>
        </is>
      </c>
    </row>
    <row r="20" ht="25" customHeight="1">
      <c r="A20" s="13" t="inlineStr">
        <is>
          <t>4. Deviations Breakdown</t>
        </is>
      </c>
      <c r="B20" s="13" t="inlineStr">
        <is>
          <t>Deviation for Beta blocker</t>
        </is>
      </c>
      <c r="C20" s="5" t="inlineStr">
        <is>
          <t>Count of UHID, %</t>
        </is>
      </c>
      <c r="D20" s="5" t="inlineStr">
        <is>
          <t>Sheet1!CJ, patient_demographics.uhid</t>
        </is>
      </c>
      <c r="E20" s="6" t="inlineStr">
        <is>
          <t>SUM(CJ)</t>
        </is>
      </c>
      <c r="F20" s="6">
        <f>COUNTIF(Sheet1!CJ2:CJ286, 1)</f>
        <v/>
      </c>
      <c r="G20" s="7" t="inlineStr">
        <is>
          <t>Sheet1!CJ2:CJ286</t>
        </is>
      </c>
      <c r="H20" s="5" t="inlineStr">
        <is>
          <t>Patients with guideline deviation on Beta Blocker (46.8% deviation rate)</t>
        </is>
      </c>
      <c r="I20" s="5" t="inlineStr">
        <is>
          <t>Given with CI (Harm) or Withheld without CI (Under-treatment)</t>
        </is>
      </c>
    </row>
    <row r="21" ht="25" customHeight="1">
      <c r="A21" s="12" t="inlineStr">
        <is>
          <t>4. Deviations Breakdown</t>
        </is>
      </c>
      <c r="B21" s="12" t="inlineStr">
        <is>
          <t>Deviation for ACE inhibitor</t>
        </is>
      </c>
      <c r="C21" s="8" t="inlineStr">
        <is>
          <t>Count of UHID, %</t>
        </is>
      </c>
      <c r="D21" s="8" t="inlineStr">
        <is>
          <t>Sheet1!CK, patient_demographics.uhid</t>
        </is>
      </c>
      <c r="E21" s="9" t="inlineStr">
        <is>
          <t>SUM(CK)</t>
        </is>
      </c>
      <c r="F21" s="9">
        <f>COUNTIF(Sheet1!CK2:CK286, 1)</f>
        <v/>
      </c>
      <c r="G21" s="10" t="inlineStr">
        <is>
          <t>Sheet1!CK2:CK286</t>
        </is>
      </c>
      <c r="H21" s="8" t="inlineStr">
        <is>
          <t>Patients with deviation on ACE inhibitor (82.7% deviation rate)</t>
        </is>
      </c>
      <c r="I21" s="8" t="inlineStr">
        <is>
          <t>High due to non-use in absence of identified contraindication</t>
        </is>
      </c>
    </row>
    <row r="22" ht="25" customHeight="1">
      <c r="A22" s="13" t="inlineStr">
        <is>
          <t>4. Deviations Breakdown</t>
        </is>
      </c>
      <c r="B22" s="13" t="inlineStr">
        <is>
          <t>Deviation for ARB</t>
        </is>
      </c>
      <c r="C22" s="5" t="inlineStr">
        <is>
          <t>Count of UHID, %</t>
        </is>
      </c>
      <c r="D22" s="5" t="inlineStr">
        <is>
          <t>Sheet1!CL, patient_demographics.uhid</t>
        </is>
      </c>
      <c r="E22" s="6" t="inlineStr">
        <is>
          <t>SUM(CL)</t>
        </is>
      </c>
      <c r="F22" s="6">
        <f>COUNTIF(Sheet1!CL2:CL286, 1)</f>
        <v/>
      </c>
      <c r="G22" s="7" t="inlineStr">
        <is>
          <t>Sheet1!CL2:CL286</t>
        </is>
      </c>
      <c r="H22" s="5" t="inlineStr">
        <is>
          <t>Patients with deviation on ARB (78.8% deviation rate)</t>
        </is>
      </c>
      <c r="I22" s="5" t="inlineStr">
        <is>
          <t>High omission rate</t>
        </is>
      </c>
    </row>
    <row r="23" ht="25" customHeight="1">
      <c r="A23" s="12" t="inlineStr">
        <is>
          <t>4. Deviations Breakdown</t>
        </is>
      </c>
      <c r="B23" s="12" t="inlineStr">
        <is>
          <t>Deviation for ARNI</t>
        </is>
      </c>
      <c r="C23" s="8" t="inlineStr">
        <is>
          <t>Count of UHID, %</t>
        </is>
      </c>
      <c r="D23" s="8" t="inlineStr">
        <is>
          <t>Sheet1!CM, patient_demographics.uhid</t>
        </is>
      </c>
      <c r="E23" s="9" t="inlineStr">
        <is>
          <t>SUM(CM)</t>
        </is>
      </c>
      <c r="F23" s="9">
        <f>COUNTIF(Sheet1!CM2:CM286, 1)</f>
        <v/>
      </c>
      <c r="G23" s="10" t="inlineStr">
        <is>
          <t>Sheet1!CM2:CM286</t>
        </is>
      </c>
      <c r="H23" s="8" t="inlineStr">
        <is>
          <t>Patients with deviation on ARNI (60.1% deviation rate)</t>
        </is>
      </c>
      <c r="I23" s="8" t="inlineStr">
        <is>
          <t>Omitted in eligible patients</t>
        </is>
      </c>
    </row>
    <row r="24" ht="25" customHeight="1">
      <c r="A24" s="13" t="inlineStr">
        <is>
          <t>4. Deviations Breakdown</t>
        </is>
      </c>
      <c r="B24" s="13" t="inlineStr">
        <is>
          <t>Deviation for MRA</t>
        </is>
      </c>
      <c r="C24" s="5" t="inlineStr">
        <is>
          <t>Count of UHID, %</t>
        </is>
      </c>
      <c r="D24" s="5" t="inlineStr">
        <is>
          <t>Sheet1!CN, patient_demographics.uhid</t>
        </is>
      </c>
      <c r="E24" s="6" t="inlineStr">
        <is>
          <t>SUM(CN)</t>
        </is>
      </c>
      <c r="F24" s="6">
        <f>COUNTIF(Sheet1!CN2:CN286, 1)</f>
        <v/>
      </c>
      <c r="G24" s="7" t="inlineStr">
        <is>
          <t>Sheet1!CN2:CN286</t>
        </is>
      </c>
      <c r="H24" s="5" t="inlineStr">
        <is>
          <t>Patients with deviation on MRA (33.5% deviation rate)</t>
        </is>
      </c>
      <c r="I24" s="5" t="inlineStr">
        <is>
          <t>Lowest deviation; frequent prescribing despite mild renal flag</t>
        </is>
      </c>
    </row>
    <row r="25" ht="25" customHeight="1">
      <c r="A25" s="12" t="inlineStr">
        <is>
          <t>4. Deviations Breakdown</t>
        </is>
      </c>
      <c r="B25" s="12" t="inlineStr">
        <is>
          <t>Deviation for SGLT2 inhibitor</t>
        </is>
      </c>
      <c r="C25" s="8" t="inlineStr">
        <is>
          <t>Count of UHID, %</t>
        </is>
      </c>
      <c r="D25" s="8" t="inlineStr">
        <is>
          <t>Sheet1!CO, patient_demographics.uhid</t>
        </is>
      </c>
      <c r="E25" s="9" t="inlineStr">
        <is>
          <t>SUM(CO)</t>
        </is>
      </c>
      <c r="F25" s="9">
        <f>COUNTIF(Sheet1!CO2:CO286, 1)</f>
        <v/>
      </c>
      <c r="G25" s="10" t="inlineStr">
        <is>
          <t>Sheet1!CO2:CO286</t>
        </is>
      </c>
      <c r="H25" s="8" t="inlineStr">
        <is>
          <t>Patients with deviation on SGLT2i (72.3% deviation rate)</t>
        </is>
      </c>
      <c r="I25" s="8" t="inlineStr">
        <is>
          <t>Under-treatment represents major clinical quality improvement target</t>
        </is>
      </c>
    </row>
    <row r="26" ht="25" customHeight="1">
      <c r="A26" s="13" t="inlineStr">
        <is>
          <t>5. Adherence Distribution</t>
        </is>
      </c>
      <c r="B26" s="13" t="inlineStr">
        <is>
          <t>0.0% Adherence (6 Deviations)</t>
        </is>
      </c>
      <c r="C26" s="5" t="inlineStr">
        <is>
          <t>UHID Count, % of Cohort</t>
        </is>
      </c>
      <c r="D26" s="5" t="inlineStr">
        <is>
          <t>Sheet1!CP (Total Deviations = 6)</t>
        </is>
      </c>
      <c r="E26" s="6" t="inlineStr">
        <is>
          <t>COUNT(*) WHERE CP = 6</t>
        </is>
      </c>
      <c r="F26" s="6">
        <f>COUNTIFS(Sheet1!$CP$2:$CP$286, 6, Sheet1!$B$2:$B$286, "&lt;&gt;")</f>
        <v/>
      </c>
      <c r="G26" s="7" t="inlineStr">
        <is>
          <t>Sheet1!CP, B</t>
        </is>
      </c>
      <c r="H26" s="5" t="inlineStr">
        <is>
          <t>Patients with zero concordant pillar decisions (~6.5% of cohort)</t>
        </is>
      </c>
      <c r="I26" s="5" t="inlineStr">
        <is>
          <t>Complete care discordance</t>
        </is>
      </c>
    </row>
    <row r="27" ht="25" customHeight="1">
      <c r="A27" s="12" t="inlineStr">
        <is>
          <t>5. Adherence Distribution</t>
        </is>
      </c>
      <c r="B27" s="12" t="inlineStr">
        <is>
          <t>16.7% Adherence (5 Deviations)</t>
        </is>
      </c>
      <c r="C27" s="8" t="inlineStr">
        <is>
          <t>UHID Count, % of Cohort</t>
        </is>
      </c>
      <c r="D27" s="8" t="inlineStr">
        <is>
          <t>Sheet1!CP (Total Deviations = 5)</t>
        </is>
      </c>
      <c r="E27" s="9" t="inlineStr">
        <is>
          <t>COUNT(*) WHERE CP = 5</t>
        </is>
      </c>
      <c r="F27" s="9">
        <f>COUNTIFS(Sheet1!$CP$2:$CP$286, 5, Sheet1!$B$2:$B$286, "&lt;&gt;")</f>
        <v/>
      </c>
      <c r="G27" s="10" t="inlineStr">
        <is>
          <t>Sheet1!CP, B</t>
        </is>
      </c>
      <c r="H27" s="8" t="inlineStr">
        <is>
          <t>Patients with 1 appropriate decision (~26.6% of cohort)</t>
        </is>
      </c>
      <c r="I27" s="8" t="inlineStr">
        <is>
          <t>Severe undertreatment</t>
        </is>
      </c>
    </row>
    <row r="28" ht="25" customHeight="1">
      <c r="A28" s="13" t="inlineStr">
        <is>
          <t>5. Adherence Distribution</t>
        </is>
      </c>
      <c r="B28" s="13" t="inlineStr">
        <is>
          <t>33.3% Adherence (4 Deviations)</t>
        </is>
      </c>
      <c r="C28" s="5" t="inlineStr">
        <is>
          <t>UHID Count, % of Cohort</t>
        </is>
      </c>
      <c r="D28" s="5" t="inlineStr">
        <is>
          <t>Sheet1!CP (Total Deviations = 4)</t>
        </is>
      </c>
      <c r="E28" s="6" t="inlineStr">
        <is>
          <t>COUNT(*) WHERE CP = 4</t>
        </is>
      </c>
      <c r="F28" s="6">
        <f>COUNTIFS(Sheet1!$CP$2:$CP$286, 4, Sheet1!$B$2:$B$286, "&lt;&gt;")</f>
        <v/>
      </c>
      <c r="G28" s="7" t="inlineStr">
        <is>
          <t>Sheet1!CP, B</t>
        </is>
      </c>
      <c r="H28" s="5" t="inlineStr">
        <is>
          <t>Cohort Mode: 2 appropriate decisions (~34.2% of cohort)</t>
        </is>
      </c>
      <c r="I28" s="5" t="inlineStr">
        <is>
          <t>Most frequent adherence profile</t>
        </is>
      </c>
    </row>
    <row r="29" ht="25" customHeight="1">
      <c r="A29" s="12" t="inlineStr">
        <is>
          <t>5. Adherence Distribution</t>
        </is>
      </c>
      <c r="B29" s="12" t="inlineStr">
        <is>
          <t>50.0% Adherence (3 Deviations)</t>
        </is>
      </c>
      <c r="C29" s="8" t="inlineStr">
        <is>
          <t>UHID Count, % of Cohort</t>
        </is>
      </c>
      <c r="D29" s="8" t="inlineStr">
        <is>
          <t>Sheet1!CP (Total Deviations = 3)</t>
        </is>
      </c>
      <c r="E29" s="9" t="inlineStr">
        <is>
          <t>COUNT(*) WHERE CP = 3</t>
        </is>
      </c>
      <c r="F29" s="9">
        <f>COUNTIFS(Sheet1!$CP$2:$CP$286, 3, Sheet1!$B$2:$B$286, "&lt;&gt;")</f>
        <v/>
      </c>
      <c r="G29" s="10" t="inlineStr">
        <is>
          <t>Sheet1!CP, B</t>
        </is>
      </c>
      <c r="H29" s="8" t="inlineStr">
        <is>
          <t>Patients with 3 appropriate decisions (~13.7% of cohort)</t>
        </is>
      </c>
      <c r="I29" s="8" t="inlineStr">
        <is>
          <t>Balanced concordant decisions</t>
        </is>
      </c>
    </row>
    <row r="30" ht="25" customHeight="1">
      <c r="A30" s="13" t="inlineStr">
        <is>
          <t>5. Adherence Distribution</t>
        </is>
      </c>
      <c r="B30" s="13" t="inlineStr">
        <is>
          <t>66.7% Adherence (2 Deviations)</t>
        </is>
      </c>
      <c r="C30" s="5" t="inlineStr">
        <is>
          <t>UHID Count, % of Cohort</t>
        </is>
      </c>
      <c r="D30" s="5" t="inlineStr">
        <is>
          <t>Sheet1!CP (Total Deviations = 2)</t>
        </is>
      </c>
      <c r="E30" s="6" t="inlineStr">
        <is>
          <t>COUNT(*) WHERE CP = 2</t>
        </is>
      </c>
      <c r="F30" s="6">
        <f>COUNTIFS(Sheet1!$CP$2:$CP$286, 2, Sheet1!$B$2:$B$286, "&lt;&gt;")</f>
        <v/>
      </c>
      <c r="G30" s="7" t="inlineStr">
        <is>
          <t>Sheet1!CP, B</t>
        </is>
      </c>
      <c r="H30" s="5" t="inlineStr">
        <is>
          <t>Patients with 4 appropriate decisions (~9.0% of cohort)</t>
        </is>
      </c>
      <c r="I30" s="5" t="inlineStr">
        <is>
          <t>Substantial guideline fidelity</t>
        </is>
      </c>
    </row>
    <row r="31" ht="25" customHeight="1">
      <c r="A31" s="12" t="inlineStr">
        <is>
          <t>5. Adherence Distribution</t>
        </is>
      </c>
      <c r="B31" s="12" t="inlineStr">
        <is>
          <t>83.3% Adherence (1 Deviation)</t>
        </is>
      </c>
      <c r="C31" s="8" t="inlineStr">
        <is>
          <t>UHID Count, % of Cohort</t>
        </is>
      </c>
      <c r="D31" s="8" t="inlineStr">
        <is>
          <t>Sheet1!CP (Total Deviations = 1)</t>
        </is>
      </c>
      <c r="E31" s="9" t="inlineStr">
        <is>
          <t>COUNT(*) WHERE CP = 1</t>
        </is>
      </c>
      <c r="F31" s="9">
        <f>COUNTIFS(Sheet1!$CP$2:$CP$286, 1, Sheet1!$B$2:$B$286, "&lt;&gt;")</f>
        <v/>
      </c>
      <c r="G31" s="10" t="inlineStr">
        <is>
          <t>Sheet1!CP, B</t>
        </is>
      </c>
      <c r="H31" s="8" t="inlineStr">
        <is>
          <t>Patients with 5 appropriate decisions (~6.5% of cohort)</t>
        </is>
      </c>
      <c r="I31" s="8" t="inlineStr">
        <is>
          <t>Near complete guideline adherence</t>
        </is>
      </c>
    </row>
    <row r="32" ht="25" customHeight="1">
      <c r="A32" s="13" t="inlineStr">
        <is>
          <t>5. Adherence Distribution</t>
        </is>
      </c>
      <c r="B32" s="13" t="inlineStr">
        <is>
          <t>100.0% Adherence (0 Deviations)</t>
        </is>
      </c>
      <c r="C32" s="5" t="inlineStr">
        <is>
          <t>UHID Count, % of Cohort</t>
        </is>
      </c>
      <c r="D32" s="5" t="inlineStr">
        <is>
          <t>Sheet1!CP (Total Deviations = 0)</t>
        </is>
      </c>
      <c r="E32" s="6" t="inlineStr">
        <is>
          <t>COUNT(*) WHERE CP = 0</t>
        </is>
      </c>
      <c r="F32" s="6">
        <f>COUNTIFS(Sheet1!$CP$2:$CP$286, 0, Sheet1!$B$2:$B$286, "&lt;&gt;")</f>
        <v/>
      </c>
      <c r="G32" s="7" t="inlineStr">
        <is>
          <t>Sheet1!CP, B</t>
        </is>
      </c>
      <c r="H32" s="5" t="inlineStr">
        <is>
          <t>Patients with complete guideline concordance across all 6 pillars (~3.6% of cohort)</t>
        </is>
      </c>
      <c r="I32" s="5" t="inlineStr">
        <is>
          <t>Benchmark clinical excellence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2" customWidth="1" min="2" max="2"/>
    <col width="30" customWidth="1" min="3" max="3"/>
    <col width="32" customWidth="1" min="4" max="4"/>
    <col width="32" customWidth="1" min="5" max="5"/>
    <col width="45" customWidth="1" min="6" max="6"/>
    <col width="38" customWidth="1" min="7" max="7"/>
    <col width="45" customWidth="1" min="8" max="8"/>
    <col width="45" customWidth="1" min="9" max="9"/>
  </cols>
  <sheetData>
    <row r="1" ht="30" customHeight="1">
      <c r="A1" s="1" t="inlineStr">
        <is>
          <t>EXECUTIVE KPI &amp; CLINICAL DECISION SUMMARY: KEY POINTS MAPPING SPECIFICATION</t>
        </is>
      </c>
    </row>
    <row r="2" ht="28" customHeight="1">
      <c r="A2" s="4" t="inlineStr">
        <is>
          <t>Parameter Index</t>
        </is>
      </c>
      <c r="B2" s="4" t="inlineStr">
        <is>
          <t>Clinical Parameter / KPI Name</t>
        </is>
      </c>
      <c r="C2" s="4" t="inlineStr">
        <is>
          <t>Dashboard Source Sheet &amp; Columns</t>
        </is>
      </c>
      <c r="D2" s="4" t="inlineStr">
        <is>
          <t>Target Database Table(s)</t>
        </is>
      </c>
      <c r="E2" s="4" t="inlineStr">
        <is>
          <t>Target Database Column(s)</t>
        </is>
      </c>
      <c r="F2" s="4" t="inlineStr">
        <is>
          <t>SQL Deterministic Implementation Expression</t>
        </is>
      </c>
      <c r="G2" s="4" t="inlineStr">
        <is>
          <t>Excel Dashboard Formula</t>
        </is>
      </c>
      <c r="H2" s="4" t="inlineStr">
        <is>
          <t>Clinical Insight &amp; Benchmark Value</t>
        </is>
      </c>
      <c r="I2" s="4" t="inlineStr">
        <is>
          <t>Clinical Significance &amp; Actionable Insight</t>
        </is>
      </c>
    </row>
    <row r="3" ht="26" customHeight="1">
      <c r="A3" s="14" t="n">
        <v>1</v>
      </c>
      <c r="B3" s="12" t="inlineStr">
        <is>
          <t>Patients (UHIDs) in dataset</t>
        </is>
      </c>
      <c r="C3" s="8" t="inlineStr">
        <is>
          <t>Sheet1!B (UHID(T3))</t>
        </is>
      </c>
      <c r="D3" s="8" t="inlineStr">
        <is>
          <t>patient_demographics</t>
        </is>
      </c>
      <c r="E3" s="8" t="inlineStr">
        <is>
          <t>uhid</t>
        </is>
      </c>
      <c r="F3" s="9" t="inlineStr">
        <is>
          <t>COUNT(DISTINCT p.uhid)</t>
        </is>
      </c>
      <c r="G3" s="9">
        <f>COUNTA(Sheet1!B2:B286)</f>
        <v/>
      </c>
      <c r="H3" s="8" t="inlineStr">
        <is>
          <t>Total registry cohort size (278 patients)</t>
        </is>
      </c>
      <c r="I3" s="8" t="inlineStr">
        <is>
          <t>Denominator for all epidemiological and therapy uptake calculations</t>
        </is>
      </c>
    </row>
    <row r="4" ht="26" customHeight="1">
      <c r="A4" s="16" t="n">
        <v>2</v>
      </c>
      <c r="B4" s="13" t="inlineStr">
        <is>
          <t>Male</t>
        </is>
      </c>
      <c r="C4" s="5" t="inlineStr">
        <is>
          <t>Sheet1!H (Gender)</t>
        </is>
      </c>
      <c r="D4" s="5" t="inlineStr">
        <is>
          <t>patient_demographics</t>
        </is>
      </c>
      <c r="E4" s="5" t="inlineStr">
        <is>
          <t>gender</t>
        </is>
      </c>
      <c r="F4" s="6" t="inlineStr">
        <is>
          <t>COUNT(*) WHERE p.gender = 'Male'</t>
        </is>
      </c>
      <c r="G4" s="6">
        <f>COUNTIF(Sheet1!H2:H286, "Male")</f>
        <v/>
      </c>
      <c r="H4" s="5" t="inlineStr">
        <is>
          <t>Male representation (e.g. 182 males / 65.5%)</t>
        </is>
      </c>
      <c r="I4" s="5" t="inlineStr">
        <is>
          <t>Baseline demographic distribution in acute heart failure cohort</t>
        </is>
      </c>
    </row>
    <row r="5" ht="26" customHeight="1">
      <c r="A5" s="14" t="n">
        <v>3</v>
      </c>
      <c r="B5" s="12" t="inlineStr">
        <is>
          <t>Female</t>
        </is>
      </c>
      <c r="C5" s="8" t="inlineStr">
        <is>
          <t>Sheet1!H (Gender)</t>
        </is>
      </c>
      <c r="D5" s="8" t="inlineStr">
        <is>
          <t>patient_demographics</t>
        </is>
      </c>
      <c r="E5" s="8" t="inlineStr">
        <is>
          <t>gender</t>
        </is>
      </c>
      <c r="F5" s="9" t="inlineStr">
        <is>
          <t>COUNT(*) WHERE p.gender = 'Female'</t>
        </is>
      </c>
      <c r="G5" s="9">
        <f>COUNTIF(Sheet1!H2:H286, "female")</f>
        <v/>
      </c>
      <c r="H5" s="8" t="inlineStr">
        <is>
          <t>Female representation (e.g. 96 females / 34.5%)</t>
        </is>
      </c>
      <c r="I5" s="8" t="inlineStr">
        <is>
          <t>Sex-specific differences in HF etiology and treatment compliance</t>
        </is>
      </c>
    </row>
    <row r="6" ht="26" customHeight="1">
      <c r="A6" s="16" t="n">
        <v>4</v>
      </c>
      <c r="B6" s="13" t="inlineStr">
        <is>
          <t>Mean age (years)</t>
        </is>
      </c>
      <c r="C6" s="5" t="inlineStr">
        <is>
          <t>Sheet1!G (Age)</t>
        </is>
      </c>
      <c r="D6" s="5" t="inlineStr">
        <is>
          <t>patient_demographics, hf_administrative</t>
        </is>
      </c>
      <c r="E6" s="5" t="inlineStr">
        <is>
          <t>date_of_birth, visit_date</t>
        </is>
      </c>
      <c r="F6" s="6" t="inlineStr">
        <is>
          <t>AVG(DATEDIFF(YEAR, p.date_of_birth, ha.visit_date))</t>
        </is>
      </c>
      <c r="G6" s="6">
        <f>AVERAGE(Sheet1!G2:G286)</f>
        <v/>
      </c>
      <c r="H6" s="5" t="inlineStr">
        <is>
          <t>Average patient age (e.g. 56.4 years)</t>
        </is>
      </c>
      <c r="I6" s="5" t="inlineStr">
        <is>
          <t>Assesses premature cardiovascular morbidity in Indian registry</t>
        </is>
      </c>
    </row>
    <row r="7" ht="26" customHeight="1">
      <c r="A7" s="14" t="n">
        <v>5</v>
      </c>
      <c r="B7" s="12" t="inlineStr">
        <is>
          <t>HFrEF (EF &lt;= 40%)</t>
        </is>
      </c>
      <c r="C7" s="8" t="inlineStr">
        <is>
          <t>Sheet1!AN (Type of Heart failure)</t>
        </is>
      </c>
      <c r="D7" s="8" t="inlineStr">
        <is>
          <t>hf_final_clinical_assessment, hf_cardiac_investigations</t>
        </is>
      </c>
      <c r="E7" s="8" t="inlineStr">
        <is>
          <t>hfref, echo_ef</t>
        </is>
      </c>
      <c r="F7" s="9" t="inlineStr">
        <is>
          <t>COUNT(*) WHERE fa.hfref='Yes' OR ci.echo_ef &lt;= 40</t>
        </is>
      </c>
      <c r="G7" s="9">
        <f>COUNTIF(Sheet1!AN2:AN286, "HFrEF")</f>
        <v/>
      </c>
      <c r="H7" s="8" t="inlineStr">
        <is>
          <t>Heart Failure with reduced Ejection Fraction (~78% of cohort)</t>
        </is>
      </c>
      <c r="I7" s="8" t="inlineStr">
        <is>
          <t>Primary target population indicated for full 4-pillar GDMT</t>
        </is>
      </c>
    </row>
    <row r="8" ht="26" customHeight="1">
      <c r="A8" s="16" t="n">
        <v>6</v>
      </c>
      <c r="B8" s="13" t="inlineStr">
        <is>
          <t>HFpEF (EF &gt;= 50%)</t>
        </is>
      </c>
      <c r="C8" s="5" t="inlineStr">
        <is>
          <t>Sheet1!AN (Type of Heart failure)</t>
        </is>
      </c>
      <c r="D8" s="5" t="inlineStr">
        <is>
          <t>hf_final_clinical_assessment, hf_cardiac_investigations</t>
        </is>
      </c>
      <c r="E8" s="5" t="inlineStr">
        <is>
          <t>hfpef, echo_ef</t>
        </is>
      </c>
      <c r="F8" s="6" t="inlineStr">
        <is>
          <t>COUNT(*) WHERE fa.hfpef='Yes' OR ci.echo_ef &gt;= 50</t>
        </is>
      </c>
      <c r="G8" s="6">
        <f>COUNTIF(Sheet1!AN2:AN286, "HFpEF")</f>
        <v/>
      </c>
      <c r="H8" s="5" t="inlineStr">
        <is>
          <t>Heart Failure with preserved Ejection Fraction (~18% of cohort)</t>
        </is>
      </c>
      <c r="I8" s="5" t="inlineStr">
        <is>
          <t>Target population primarily indicated for SGLT2i and diuretic decongestion</t>
        </is>
      </c>
    </row>
    <row r="9" ht="26" customHeight="1">
      <c r="A9" s="14" t="n">
        <v>7</v>
      </c>
      <c r="B9" s="12" t="inlineStr">
        <is>
          <t>Mean EF %</t>
        </is>
      </c>
      <c r="C9" s="8" t="inlineStr">
        <is>
          <t>Sheet1!BI (EF%)</t>
        </is>
      </c>
      <c r="D9" s="8" t="inlineStr">
        <is>
          <t>hf_cardiac_investigations</t>
        </is>
      </c>
      <c r="E9" s="8" t="inlineStr">
        <is>
          <t>echo_ef</t>
        </is>
      </c>
      <c r="F9" s="9" t="inlineStr">
        <is>
          <t>AVG(ci.echo_ef)</t>
        </is>
      </c>
      <c r="G9" s="9">
        <f>AVERAGE(Sheet1!BI2:BI286)</f>
        <v/>
      </c>
      <c r="H9" s="8" t="inlineStr">
        <is>
          <t>Average left ventricular ejection fraction (~32.6%)</t>
        </is>
      </c>
      <c r="I9" s="8" t="inlineStr">
        <is>
          <t>Key quantitative echocardiographic marker of systolic dysfunction</t>
        </is>
      </c>
    </row>
    <row r="10" ht="26" customHeight="1">
      <c r="A10" s="16" t="n">
        <v>8</v>
      </c>
      <c r="B10" s="13" t="inlineStr">
        <is>
          <t>NYHA class III</t>
        </is>
      </c>
      <c r="C10" s="5" t="inlineStr">
        <is>
          <t>Sheet1!AU (Functional Status)</t>
        </is>
      </c>
      <c r="D10" s="5" t="inlineStr">
        <is>
          <t>hf_final_clinical_assessment</t>
        </is>
      </c>
      <c r="E10" s="5" t="inlineStr">
        <is>
          <t>nyha_class_3</t>
        </is>
      </c>
      <c r="F10" s="6" t="inlineStr">
        <is>
          <t>COUNT(*) WHERE fa.nyha_class_3 = 'Yes'</t>
        </is>
      </c>
      <c r="G10" s="6">
        <f>COUNTIF(Sheet1!AU2:AU286, "NYHA class III")</f>
        <v/>
      </c>
      <c r="H10" s="5" t="inlineStr">
        <is>
          <t>Moderate symptoms with marked limitation (~54% of cohort)</t>
        </is>
      </c>
      <c r="I10" s="5" t="inlineStr">
        <is>
          <t>Predominant functional stage at hospital presentation</t>
        </is>
      </c>
    </row>
    <row r="11" ht="26" customHeight="1">
      <c r="A11" s="14" t="n">
        <v>9</v>
      </c>
      <c r="B11" s="12" t="inlineStr">
        <is>
          <t>NYHA class IV</t>
        </is>
      </c>
      <c r="C11" s="8" t="inlineStr">
        <is>
          <t>Sheet1!AU (Functional Status)</t>
        </is>
      </c>
      <c r="D11" s="8" t="inlineStr">
        <is>
          <t>hf_final_clinical_assessment</t>
        </is>
      </c>
      <c r="E11" s="8" t="inlineStr">
        <is>
          <t>nyha_class_4</t>
        </is>
      </c>
      <c r="F11" s="9" t="inlineStr">
        <is>
          <t>COUNT(*) WHERE fa.nyha_class_4 = 'Yes'</t>
        </is>
      </c>
      <c r="G11" s="9">
        <f>COUNTIF(Sheet1!AU2:AU286, "NYHA class IV")</f>
        <v/>
      </c>
      <c r="H11" s="8" t="inlineStr">
        <is>
          <t>Severe symptoms at rest (~21% of cohort)</t>
        </is>
      </c>
      <c r="I11" s="8" t="inlineStr">
        <is>
          <t>High-risk acute decompensated subpopulation requiring aggressive management</t>
        </is>
      </c>
    </row>
    <row r="12" ht="26" customHeight="1">
      <c r="A12" s="16" t="n">
        <v>10</v>
      </c>
      <c r="B12" s="13" t="inlineStr">
        <is>
          <t>Diabetes mellitus</t>
        </is>
      </c>
      <c r="C12" s="5" t="inlineStr">
        <is>
          <t>Sheet1!AO:AR (Comorbidities)</t>
        </is>
      </c>
      <c r="D12" s="5" t="inlineStr">
        <is>
          <t>hf_final_clinical_assessment, patient_demographics</t>
        </is>
      </c>
      <c r="E12" s="5" t="inlineStr">
        <is>
          <t>diabetes_mellitus, diabetes</t>
        </is>
      </c>
      <c r="F12" s="6" t="inlineStr">
        <is>
          <t>COUNT(*) WHERE fa.diabetes_mellitus='Yes' OR p.diabetes='Yes'</t>
        </is>
      </c>
      <c r="G12" s="6">
        <f>SUMPRODUCT(--(MMULT(--(Sheet1!AO2:AR286="Diabetes mellitus"),{1;1;1;1})&gt;0))</f>
        <v/>
      </c>
      <c r="H12" s="5" t="inlineStr">
        <is>
          <t>Diabetic comorbidity prevalence (~40-42% of cohort)</t>
        </is>
      </c>
      <c r="I12" s="5" t="inlineStr">
        <is>
          <t>Strong independent risk factor and class I indication for SGLT2 inhibitors</t>
        </is>
      </c>
    </row>
    <row r="13" ht="26" customHeight="1">
      <c r="A13" s="14" t="n">
        <v>11</v>
      </c>
      <c r="B13" s="12" t="inlineStr">
        <is>
          <t>Hypertension</t>
        </is>
      </c>
      <c r="C13" s="8" t="inlineStr">
        <is>
          <t>Sheet1!AO:AR (Comorbidities)</t>
        </is>
      </c>
      <c r="D13" s="8" t="inlineStr">
        <is>
          <t>hf_final_clinical_assessment, patient_demographics</t>
        </is>
      </c>
      <c r="E13" s="8" t="inlineStr">
        <is>
          <t>hypertension</t>
        </is>
      </c>
      <c r="F13" s="9" t="inlineStr">
        <is>
          <t>COUNT(*) WHERE fa.hypertension='Yes' OR p.hypertension='Yes'</t>
        </is>
      </c>
      <c r="G13" s="9">
        <f>SUMPRODUCT(--(MMULT(--(UPPER(Sheet1!AO2:AR286)="HYPERTENSION"),{1;1;1;1})&gt;0))</f>
        <v/>
      </c>
      <c r="H13" s="8" t="inlineStr">
        <is>
          <t>Hypertension comorbidity prevalence (~60-63% of cohort)</t>
        </is>
      </c>
      <c r="I13" s="8" t="inlineStr">
        <is>
          <t>Major etiological contributor to left ventricular hypertrophy and HF</t>
        </is>
      </c>
    </row>
    <row r="14" ht="26" customHeight="1">
      <c r="A14" s="16" t="n">
        <v>12</v>
      </c>
      <c r="B14" s="13" t="inlineStr">
        <is>
          <t>Renal failure / CKD flagged</t>
        </is>
      </c>
      <c r="C14" s="5" t="inlineStr">
        <is>
          <t>CI Flags!O (Renal impairment)</t>
        </is>
      </c>
      <c r="D14" s="5" t="inlineStr">
        <is>
          <t>hf_lab_tests, hf_final_clinical_assessment</t>
        </is>
      </c>
      <c r="E14" s="5" t="inlineStr">
        <is>
          <t>creatinine_result, renal_failure</t>
        </is>
      </c>
      <c r="F14" s="6" t="inlineStr">
        <is>
          <t>COUNT(*) WHERE TRY_CAST(lt.creatinine_result AS DECIMAL(4,2)) &gt; 2.5 OR fa.renal_failure='Yes'</t>
        </is>
      </c>
      <c r="G14" s="6">
        <f>SUM('CI Flags'!O2:O286)</f>
        <v/>
      </c>
      <c r="H14" s="5" t="inlineStr">
        <is>
          <t>Active renal contraindication flag (15 patients / ~5.4%)</t>
        </is>
      </c>
      <c r="I14" s="5" t="inlineStr">
        <is>
          <t>Primary safety barrier limiting RAASi and MRA uptitration</t>
        </is>
      </c>
    </row>
    <row r="15" ht="26" customHeight="1">
      <c r="A15" s="14" t="n">
        <v>13</v>
      </c>
      <c r="B15" s="12" t="inlineStr">
        <is>
          <t>Deaths recorded</t>
        </is>
      </c>
      <c r="C15" s="8" t="inlineStr">
        <is>
          <t>Sheet1!AZ (Death)</t>
        </is>
      </c>
      <c r="D15" s="8" t="inlineStr">
        <is>
          <t>hf_final_clinical_assessment</t>
        </is>
      </c>
      <c r="E15" s="8" t="inlineStr">
        <is>
          <t>mace_death, death_date</t>
        </is>
      </c>
      <c r="F15" s="9" t="inlineStr">
        <is>
          <t>COUNT(*) WHERE fa.mace_death='Yes' OR fa.death_date IS NOT NULL</t>
        </is>
      </c>
      <c r="G15" s="9">
        <f>COUNTIF(Sheet1!AZ2:AZ286, "Y*")+COUNTIF(Sheet1!AZ2:AZ286, "Yes")</f>
        <v/>
      </c>
      <c r="H15" s="8" t="inlineStr">
        <is>
          <t>In-hospital / follow-up mortality (5 recorded deaths)</t>
        </is>
      </c>
      <c r="I15" s="8" t="inlineStr">
        <is>
          <t>Key clinical outcome metric evaluating registry quality of care</t>
        </is>
      </c>
    </row>
    <row r="16" ht="26" customHeight="1">
      <c r="A16" s="16" t="n">
        <v>14</v>
      </c>
      <c r="B16" s="13" t="inlineStr">
        <is>
          <t>Mean number of GDMT drugs per patient</t>
        </is>
      </c>
      <c r="C16" s="5" t="inlineStr">
        <is>
          <t>Sheet1!CC (Number of GDMT Drugs Taken)</t>
        </is>
      </c>
      <c r="D16" s="5" t="inlineStr">
        <is>
          <t>Sheet1!CC</t>
        </is>
      </c>
      <c r="E16" s="5" t="inlineStr">
        <is>
          <t>SUM(BW..CB) / Total Cohort</t>
        </is>
      </c>
      <c r="F16" s="6" t="inlineStr">
        <is>
          <t>AVG(BW + BX + BY + BZ + CA + CB)</t>
        </is>
      </c>
      <c r="G16" s="6">
        <f>AVERAGE(Sheet1!CC2:CC286)</f>
        <v/>
      </c>
      <c r="H16" s="5" t="inlineStr">
        <is>
          <t>Average GDMT classes per patient (1.43 classes out of 6)</t>
        </is>
      </c>
      <c r="I16" s="5" t="inlineStr">
        <is>
          <t>Quantifies overall prescribing intensity across the cohort</t>
        </is>
      </c>
    </row>
    <row r="17" ht="26" customHeight="1">
      <c r="A17" s="14" t="n">
        <v>15</v>
      </c>
      <c r="B17" s="12" t="inlineStr">
        <is>
          <t>Mean % GDMT adherence</t>
        </is>
      </c>
      <c r="C17" s="8" t="inlineStr">
        <is>
          <t>Sheet1!CR (% of GDMT adhered to)</t>
        </is>
      </c>
      <c r="D17" s="8" t="inlineStr">
        <is>
          <t>Sheet1!CR</t>
        </is>
      </c>
      <c r="E17" s="8" t="inlineStr">
        <is>
          <t>(6 - Total Deviations) / 6</t>
        </is>
      </c>
      <c r="F17" s="9" t="inlineStr">
        <is>
          <t>AVG((6.0 - CP) / 6.0)</t>
        </is>
      </c>
      <c r="G17" s="9">
        <f>AVERAGE(Sheet1!CR2:CR286)</f>
        <v/>
      </c>
      <c r="H17" s="8" t="inlineStr">
        <is>
          <t>Average cohort guideline adherence proportion (~36.2%)</t>
        </is>
      </c>
      <c r="I17" s="8" t="inlineStr">
        <is>
          <t>Core executive composite KPI for quality improvement dashboard</t>
        </is>
      </c>
    </row>
    <row r="18" ht="26" customHeight="1">
      <c r="A18" s="16" t="n">
        <v>16</v>
      </c>
      <c r="B18" s="13" t="inlineStr">
        <is>
          <t>Beta Blocker Utilization &amp; CI</t>
        </is>
      </c>
      <c r="C18" s="5" t="inlineStr">
        <is>
          <t>Sheet1!BW, Sheet1!CD</t>
        </is>
      </c>
      <c r="D18" s="5" t="inlineStr">
        <is>
          <t>hf_medical_therapy_part1, CI Flags</t>
        </is>
      </c>
      <c r="E18" s="5" t="inlineStr">
        <is>
          <t>carvedilol..nebivolol, CI flags</t>
        </is>
      </c>
      <c r="F18" s="6" t="inlineStr">
        <is>
          <t>SUM(BW), SUM(CD)</t>
        </is>
      </c>
      <c r="G18" s="6">
        <f>SUM(Sheet1!BW2:BW286) / =SUM(Sheet1!CD2:CD286)</f>
        <v/>
      </c>
      <c r="H18" s="5" t="inlineStr">
        <is>
          <t>38.8% on drug; 14.7% with documented CI</t>
        </is>
      </c>
      <c r="I18" s="5" t="inlineStr">
        <is>
          <t>Primary barriers: Bradycardia (&lt;50 bpm), Shock, Severe Hypotension</t>
        </is>
      </c>
    </row>
    <row r="19" ht="26" customHeight="1">
      <c r="A19" s="14" t="n">
        <v>17</v>
      </c>
      <c r="B19" s="12" t="inlineStr">
        <is>
          <t>ACE Inhibitor Utilization &amp; CI</t>
        </is>
      </c>
      <c r="C19" s="8" t="inlineStr">
        <is>
          <t>Sheet1!BX, Sheet1!CE</t>
        </is>
      </c>
      <c r="D19" s="8" t="inlineStr">
        <is>
          <t>hf_medical_therapy_part1, CI Flags</t>
        </is>
      </c>
      <c r="E19" s="8" t="inlineStr">
        <is>
          <t>enalapril..perindopril, CI flags</t>
        </is>
      </c>
      <c r="F19" s="9" t="inlineStr">
        <is>
          <t>SUM(BX), SUM(CE)</t>
        </is>
      </c>
      <c r="G19" s="9">
        <f>SUM(Sheet1!BX2:BX286) / =SUM(Sheet1!CE2:CE286)</f>
        <v/>
      </c>
      <c r="H19" s="8" t="inlineStr">
        <is>
          <t>0.7% on drug; 18.3% with documented CI</t>
        </is>
      </c>
      <c r="I19" s="8" t="inlineStr">
        <is>
          <t>Largely supplanted by ARNI in contemporary specialist practice</t>
        </is>
      </c>
    </row>
    <row r="20" ht="26" customHeight="1">
      <c r="A20" s="16" t="n">
        <v>18</v>
      </c>
      <c r="B20" s="13" t="inlineStr">
        <is>
          <t>ARB Utilization &amp; CI</t>
        </is>
      </c>
      <c r="C20" s="5" t="inlineStr">
        <is>
          <t>Sheet1!BY, Sheet1!CF</t>
        </is>
      </c>
      <c r="D20" s="5" t="inlineStr">
        <is>
          <t>hf_medical_therapy_part1, CI Flags</t>
        </is>
      </c>
      <c r="E20" s="5" t="inlineStr">
        <is>
          <t>valsartan..olmesartan, CI flags</t>
        </is>
      </c>
      <c r="F20" s="6" t="inlineStr">
        <is>
          <t>SUM(BY), SUM(CF)</t>
        </is>
      </c>
      <c r="G20" s="6">
        <f>SUM(Sheet1!BY2:BY286) / =SUM(Sheet1!CF2:CF286)</f>
        <v/>
      </c>
      <c r="H20" s="5" t="inlineStr">
        <is>
          <t>4.7% on drug; 18.3% with documented CI</t>
        </is>
      </c>
      <c r="I20" s="5" t="inlineStr">
        <is>
          <t>Preserved for ACEi-cough intolerant patients not transitioned to ARNI</t>
        </is>
      </c>
    </row>
    <row r="21" ht="26" customHeight="1">
      <c r="A21" s="14" t="n">
        <v>19</v>
      </c>
      <c r="B21" s="12" t="inlineStr">
        <is>
          <t>ARNI Utilization &amp; CI</t>
        </is>
      </c>
      <c r="C21" s="8" t="inlineStr">
        <is>
          <t>Sheet1!BZ, Sheet1!CG</t>
        </is>
      </c>
      <c r="D21" s="8" t="inlineStr">
        <is>
          <t>hf_followup_records, CI Flags</t>
        </is>
      </c>
      <c r="E21" s="8" t="inlineStr">
        <is>
          <t>arni_sacubitril_valsartan_taking, CI flags</t>
        </is>
      </c>
      <c r="F21" s="9" t="inlineStr">
        <is>
          <t>SUM(BZ), SUM(CG)</t>
        </is>
      </c>
      <c r="G21" s="9">
        <f>SUM(Sheet1!BZ2:BZ286) / =SUM(Sheet1!CG2:CG286)</f>
        <v/>
      </c>
      <c r="H21" s="8" t="inlineStr">
        <is>
          <t>19.4% on drug; 26.3% with documented CI</t>
        </is>
      </c>
      <c r="I21" s="8" t="inlineStr">
        <is>
          <t>Limited by baseline SBP &lt; 100 mmHg and economic affordability</t>
        </is>
      </c>
    </row>
    <row r="22" ht="26" customHeight="1">
      <c r="A22" s="16" t="n">
        <v>20</v>
      </c>
      <c r="B22" s="13" t="inlineStr">
        <is>
          <t>MRA Utilization &amp; CI</t>
        </is>
      </c>
      <c r="C22" s="5" t="inlineStr">
        <is>
          <t>Sheet1!CA, Sheet1!CH</t>
        </is>
      </c>
      <c r="D22" s="5" t="inlineStr">
        <is>
          <t>hf_medical_therapy_part1, CI Flags</t>
        </is>
      </c>
      <c r="E22" s="5" t="inlineStr">
        <is>
          <t>spironolactone, eplerenone, CI flags</t>
        </is>
      </c>
      <c r="F22" s="6" t="inlineStr">
        <is>
          <t>SUM(CA), SUM(CH)</t>
        </is>
      </c>
      <c r="G22" s="6">
        <f>SUM(Sheet1!CA2:CA286) / =SUM(Sheet1!CH2:CH286)</f>
        <v/>
      </c>
      <c r="H22" s="5" t="inlineStr">
        <is>
          <t>69.1% on drug; 8.6% with documented CI</t>
        </is>
      </c>
      <c r="I22" s="5" t="inlineStr">
        <is>
          <t>Highest prescribed class; small subset prescribed despite borderline renal flag</t>
        </is>
      </c>
    </row>
    <row r="23" ht="26" customHeight="1">
      <c r="A23" s="14" t="n">
        <v>21</v>
      </c>
      <c r="B23" s="12" t="inlineStr">
        <is>
          <t>SGLT2i Utilization &amp; CI</t>
        </is>
      </c>
      <c r="C23" s="8" t="inlineStr">
        <is>
          <t>Sheet1!CB, Sheet1!CI</t>
        </is>
      </c>
      <c r="D23" s="8" t="inlineStr">
        <is>
          <t>hf_followup_records, CI Flags</t>
        </is>
      </c>
      <c r="E23" s="8" t="inlineStr">
        <is>
          <t>sglt2_dapagliflozin_taking, CI flags</t>
        </is>
      </c>
      <c r="F23" s="9" t="inlineStr">
        <is>
          <t>SUM(CB), SUM(CI)</t>
        </is>
      </c>
      <c r="G23" s="9">
        <f>SUM(Sheet1!CB2:CB286) / =SUM(Sheet1!CI2:CI286)</f>
        <v/>
      </c>
      <c r="H23" s="8" t="inlineStr">
        <is>
          <t>9.7% on drug; 7.2% with documented CI</t>
        </is>
      </c>
      <c r="I23" s="8" t="inlineStr">
        <is>
          <t>Significant under-treatment gap representing major intervention target</t>
        </is>
      </c>
    </row>
    <row r="24" ht="26" customHeight="1">
      <c r="A24" s="16" t="n">
        <v>22</v>
      </c>
      <c r="B24" s="13" t="inlineStr">
        <is>
          <t>Harm Deviation (Given despite CI)</t>
        </is>
      </c>
      <c r="C24" s="5" t="inlineStr">
        <is>
          <t>Sheet1!BW..CB, Sheet1!CD..CI</t>
        </is>
      </c>
      <c r="D24" s="5" t="inlineStr">
        <is>
          <t>Derived cross-tabulation</t>
        </is>
      </c>
      <c r="E24" s="5" t="inlineStr">
        <is>
          <t>prescribed=1 AND contra=1</t>
        </is>
      </c>
      <c r="F24" s="6" t="inlineStr">
        <is>
          <t>SUM(CASE WHEN prescribed=1 AND contra=1 THEN 1 ELSE 0 END)</t>
        </is>
      </c>
      <c r="G24" s="6">
        <f>SUMPRODUCT((Sheet1!BW2:BW286=1)*(Sheet1!CD2:CD286=1))</f>
        <v/>
      </c>
      <c r="H24" s="5" t="inlineStr">
        <is>
          <t>MRA represents highest harm deviation (~12 patients)</t>
        </is>
      </c>
      <c r="I24" s="5" t="inlineStr">
        <is>
          <t>Patients receiving therapy despite laboratory safety threshold flags</t>
        </is>
      </c>
    </row>
    <row r="25" ht="26" customHeight="1">
      <c r="A25" s="14" t="n">
        <v>23</v>
      </c>
      <c r="B25" s="12" t="inlineStr">
        <is>
          <t>Omission Deviation (Withheld without CI)</t>
        </is>
      </c>
      <c r="C25" s="8" t="inlineStr">
        <is>
          <t>Sheet1!BW..CB, Sheet1!CD..CI</t>
        </is>
      </c>
      <c r="D25" s="8" t="inlineStr">
        <is>
          <t>Derived cross-tabulation</t>
        </is>
      </c>
      <c r="E25" s="8" t="inlineStr">
        <is>
          <t>prescribed=0 AND contra=0</t>
        </is>
      </c>
      <c r="F25" s="9" t="inlineStr">
        <is>
          <t>SUM(CASE WHEN prescribed=0 AND contra=0 THEN 1 ELSE 0 END)</t>
        </is>
      </c>
      <c r="G25" s="9">
        <f>SUMPRODUCT((Sheet1!BW2:BW286=0)*(Sheet1!CD2:CD286=0))</f>
        <v/>
      </c>
      <c r="H25" s="8" t="inlineStr">
        <is>
          <t>SGLT2i (201 patients), ACEi (228 patients), ARB (214 patients)</t>
        </is>
      </c>
      <c r="I25" s="8" t="inlineStr">
        <is>
          <t>Dominant clinical deviation mode in heart failure registries</t>
        </is>
      </c>
    </row>
    <row r="26" ht="26" customHeight="1">
      <c r="A26" s="16" t="n">
        <v>24</v>
      </c>
      <c r="B26" s="13" t="inlineStr">
        <is>
          <t>Quality Action: SGLT2i Optimization</t>
        </is>
      </c>
      <c r="C26" s="5" t="inlineStr">
        <is>
          <t>Sheet1!CB, CI Flags!Q,R,S</t>
        </is>
      </c>
      <c r="D26" s="5" t="inlineStr">
        <is>
          <t>hf_followup_records, hf_lab_tests</t>
        </is>
      </c>
      <c r="E26" s="5" t="inlineStr">
        <is>
          <t>sglt2_dapagliflozin_taking, creatinine_result</t>
        </is>
      </c>
      <c r="F26" s="6" t="inlineStr">
        <is>
          <t>SELECT uhid FROM cohort WHERE CB=0 AND SGLT2_CI=0</t>
        </is>
      </c>
      <c r="G26" s="6" t="inlineStr">
        <is>
          <t>Filter Sheet1 where CB=0 and CI=0</t>
        </is>
      </c>
      <c r="H26" s="5" t="inlineStr">
        <is>
          <t>201 eligible patients withheld without medical justification</t>
        </is>
      </c>
      <c r="I26" s="5" t="inlineStr">
        <is>
          <t>Immediate quality improvement initiative: Initiate Dapagliflozin/Empagliflozin in eligible HFrEF/HFpEF</t>
        </is>
      </c>
    </row>
    <row r="27" ht="26" customHeight="1">
      <c r="A27" s="14" t="n">
        <v>25</v>
      </c>
      <c r="B27" s="12" t="inlineStr">
        <is>
          <t>Quality Action: ARNI Transition</t>
        </is>
      </c>
      <c r="C27" s="8" t="inlineStr">
        <is>
          <t>Sheet1!BZ, CI Flags!J,M,O</t>
        </is>
      </c>
      <c r="D27" s="8" t="inlineStr">
        <is>
          <t>hf_followup_records, hf_initial_assessment</t>
        </is>
      </c>
      <c r="E27" s="8" t="inlineStr">
        <is>
          <t>arni_taking, systolic_bp_sitting</t>
        </is>
      </c>
      <c r="F27" s="9" t="inlineStr">
        <is>
          <t>SELECT uhid FROM cohort WHERE BZ=0 AND SBP&gt;=100 AND K&lt;=5.5</t>
        </is>
      </c>
      <c r="G27" s="9" t="inlineStr">
        <is>
          <t>Filter Sheet1 where BZ=0 and CG=0</t>
        </is>
      </c>
      <c r="H27" s="8" t="inlineStr">
        <is>
          <t>167 eligible patients withheld without medical justification</t>
        </is>
      </c>
      <c r="I27" s="8" t="inlineStr">
        <is>
          <t>Transition stable patients on ACEi/ARB or de novo HFrEF to Sacubitril/Valsartan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2026-10-14T18:00:24Z</dcterms:created>
  <dcterms:modified xmlns:dcterms="http://purl.org/dc/terms/" xmlns:xsi="http://www.w3.org/2001/XMLSchema-instance" xsi:type="dcterms:W3CDTF">2026-10-14T18:00:24Z</dcterms:modified>
</cp:coreProperties>
</file>